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Ms Excel\"/>
    </mc:Choice>
  </mc:AlternateContent>
  <xr:revisionPtr revIDLastSave="0" documentId="13_ncr:1_{3E56C71D-4323-46C4-ADDB-7EB7F616FD3B}" xr6:coauthVersionLast="47" xr6:coauthVersionMax="47" xr10:uidLastSave="{00000000-0000-0000-0000-000000000000}"/>
  <bookViews>
    <workbookView xWindow="-108" yWindow="-108" windowWidth="23256" windowHeight="13896" tabRatio="810" activeTab="7" xr2:uid="{7B41D903-EA4D-485F-AE87-01ACF0041093}"/>
  </bookViews>
  <sheets>
    <sheet name="Dashboard" sheetId="1" r:id="rId1"/>
    <sheet name="Channels" sheetId="5" r:id="rId2"/>
    <sheet name="Top 5 Place" sheetId="6" r:id="rId3"/>
    <sheet name="Men vs Women" sheetId="7" r:id="rId4"/>
    <sheet name="Age &amp; Gender" sheetId="8" r:id="rId5"/>
    <sheet name="Order Status" sheetId="9" r:id="rId6"/>
    <sheet name="Order vs Sales" sheetId="10" r:id="rId7"/>
    <sheet name="Data" sheetId="3" r:id="rId8"/>
  </sheets>
  <definedNames>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<sst xmlns="http://schemas.openxmlformats.org/spreadsheetml/2006/main" count="174" uniqueCount="95">
  <si>
    <t>S.No.</t>
  </si>
  <si>
    <t>Order ID</t>
  </si>
  <si>
    <t>Customer ID</t>
  </si>
  <si>
    <t>Customer Name</t>
  </si>
  <si>
    <t>Gender</t>
  </si>
  <si>
    <t>Age</t>
  </si>
  <si>
    <t>Age Group</t>
  </si>
  <si>
    <t>Date</t>
  </si>
  <si>
    <t>Month</t>
  </si>
  <si>
    <t>Status</t>
  </si>
  <si>
    <t>Channel</t>
  </si>
  <si>
    <t>Category</t>
  </si>
  <si>
    <t>Qty</t>
  </si>
  <si>
    <t>Amount</t>
  </si>
  <si>
    <t>Ship-state</t>
  </si>
  <si>
    <t>Ship-postal-code</t>
  </si>
  <si>
    <t>Ankit</t>
  </si>
  <si>
    <t>Ankush</t>
  </si>
  <si>
    <t>Amit</t>
  </si>
  <si>
    <t>Varsha</t>
  </si>
  <si>
    <t>Sumit</t>
  </si>
  <si>
    <t>Rohit</t>
  </si>
  <si>
    <t>Rahul</t>
  </si>
  <si>
    <t>Nitin</t>
  </si>
  <si>
    <t>Kaushal</t>
  </si>
  <si>
    <t>Nigam</t>
  </si>
  <si>
    <t>Surya</t>
  </si>
  <si>
    <t>Sanjay</t>
  </si>
  <si>
    <t>Nitesh</t>
  </si>
  <si>
    <t>Soniya</t>
  </si>
  <si>
    <t>Manju</t>
  </si>
  <si>
    <t>Male</t>
  </si>
  <si>
    <t>Female</t>
  </si>
  <si>
    <t>20+</t>
  </si>
  <si>
    <t>50+</t>
  </si>
  <si>
    <t>40+</t>
  </si>
  <si>
    <t>60+</t>
  </si>
  <si>
    <t>30+</t>
  </si>
  <si>
    <t>18+</t>
  </si>
  <si>
    <t>13/04/2022</t>
  </si>
  <si>
    <t>14/05/2022</t>
  </si>
  <si>
    <t>16/05/2022</t>
  </si>
  <si>
    <t>17/7/2022</t>
  </si>
  <si>
    <t>Jan</t>
  </si>
  <si>
    <t>Feb</t>
  </si>
  <si>
    <t>Mar</t>
  </si>
  <si>
    <t>April</t>
  </si>
  <si>
    <t>May</t>
  </si>
  <si>
    <t>June</t>
  </si>
  <si>
    <t>July</t>
  </si>
  <si>
    <t>Delivered</t>
  </si>
  <si>
    <t>Cancelled</t>
  </si>
  <si>
    <t>Refunded</t>
  </si>
  <si>
    <t>Myntra</t>
  </si>
  <si>
    <t>Ajio</t>
  </si>
  <si>
    <t>Amazom</t>
  </si>
  <si>
    <t>Meesho</t>
  </si>
  <si>
    <t>Flipkart</t>
  </si>
  <si>
    <t>Amazon</t>
  </si>
  <si>
    <t>Mouse</t>
  </si>
  <si>
    <t>Keyboard</t>
  </si>
  <si>
    <t>Laptop</t>
  </si>
  <si>
    <t>Monitor</t>
  </si>
  <si>
    <t>Graphic</t>
  </si>
  <si>
    <t>RAM</t>
  </si>
  <si>
    <t>SSD</t>
  </si>
  <si>
    <t>HDD</t>
  </si>
  <si>
    <t>Motherboard</t>
  </si>
  <si>
    <t>CD</t>
  </si>
  <si>
    <t>DVD</t>
  </si>
  <si>
    <t>Processor</t>
  </si>
  <si>
    <t>Fan</t>
  </si>
  <si>
    <t>Router</t>
  </si>
  <si>
    <t>PUNJAB</t>
  </si>
  <si>
    <t>HARYANA</t>
  </si>
  <si>
    <t>BAREILLY</t>
  </si>
  <si>
    <t>DELHI</t>
  </si>
  <si>
    <t>KANPUR</t>
  </si>
  <si>
    <t>RAMPUR</t>
  </si>
  <si>
    <t>LUCKNOW</t>
  </si>
  <si>
    <t>SITAPUR</t>
  </si>
  <si>
    <t>PORBANDAR</t>
  </si>
  <si>
    <t>BANDA</t>
  </si>
  <si>
    <t>LAKHIMPUR</t>
  </si>
  <si>
    <t>SHAHJAHANPUR</t>
  </si>
  <si>
    <t>RAIPUR</t>
  </si>
  <si>
    <t>JAIPUR</t>
  </si>
  <si>
    <t>KERAL</t>
  </si>
  <si>
    <t>Row Labels</t>
  </si>
  <si>
    <t>Grand Total</t>
  </si>
  <si>
    <t>Count of Order ID</t>
  </si>
  <si>
    <t>Sum of Amount</t>
  </si>
  <si>
    <t>Column Labels</t>
  </si>
  <si>
    <t>Aug</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</si>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</sst>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ldasin"/>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1" xfId="0"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14" fontId="0" fillId="0" borderId="8" xfId="0" applyNumberFormat="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1" fillId="0" borderId="0" xfId="0" applyFont="1"/>
    <xf numFmtId="0" fontId="0" fillId="0" borderId="0" xfId="0" applyNumberFormat="1"/>
  </cellXfs>
  <cellStyles count="1">
    <cellStyle name="Normal" xfId="0" builtinId="0"/>
  </cellStyles>
  <dxfs count="69">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13" formatCode="0%"/>
    </dxf>
    <dxf>
      <numFmt numFmtId="14" formatCode="0.00%"/>
    </dxf>
    <dxf>
      <numFmt numFmtId="14" formatCode="0.00%"/>
    </dxf>
    <dxf>
      <numFmt numFmtId="13" formatCode="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protection locked="0" hidden="0"/>
    </dxf>
    <dxf>
      <border outline="0">
        <bottom style="thin">
          <color indexed="64"/>
        </bottom>
      </border>
    </dxf>
    <dxf>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
      <numFmt numFmtId="13" formatCode="0%"/>
    </dxf>
    <dxf>
      <numFmt numFmtId="13" formatCode="0%"/>
    </dxf>
    <dxf>
      <numFmt numFmtId="14" formatCode="0.00%"/>
    </dxf>
    <dxf>
      <numFmt numFmtId="14" formatCode="0.0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Dashboard.xlsx]Channels!PivotTable1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0C-4FA0-98DD-A3F2E6E3F9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0C-4FA0-98DD-A3F2E6E3F9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0C-4FA0-98DD-A3F2E6E3F9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0C-4FA0-98DD-A3F2E6E3F9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0C-4FA0-98DD-A3F2E6E3F9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0C-4FA0-98DD-A3F2E6E3F9C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Channels!$A$4:$A$6</c:f>
              <c:strCache>
                <c:ptCount val="2"/>
                <c:pt idx="0">
                  <c:v>Amazon</c:v>
                </c:pt>
                <c:pt idx="1">
                  <c:v>Meesho</c:v>
                </c:pt>
              </c:strCache>
            </c:strRef>
          </c:cat>
          <c:val>
            <c:numRef>
              <c:f>Channels!$B$4:$B$6</c:f>
              <c:numCache>
                <c:formatCode>0.00%</c:formatCode>
                <c:ptCount val="2"/>
                <c:pt idx="0">
                  <c:v>0.5</c:v>
                </c:pt>
                <c:pt idx="1">
                  <c:v>0.5</c:v>
                </c:pt>
              </c:numCache>
            </c:numRef>
          </c:val>
          <c:extLst>
            <c:ext xmlns:c16="http://schemas.microsoft.com/office/drawing/2014/chart" uri="{C3380CC4-5D6E-409C-BE32-E72D297353CC}">
              <c16:uniqueId val="{0000000C-190C-4FA0-98DD-A3F2E6E3F9C3}"/>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0785960458213746"/>
          <c:y val="3.8979658792650938E-2"/>
          <c:w val="0.18435223342409301"/>
          <c:h val="0.46875328083989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Dashboard.xlsx]Top 5 Place!PivotTable2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Place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Place'!$B$3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Place'!$A$4:$A$6</c:f>
              <c:strCache>
                <c:ptCount val="2"/>
                <c:pt idx="0">
                  <c:v>JAIPUR</c:v>
                </c:pt>
                <c:pt idx="1">
                  <c:v>SHAHJAHANPUR</c:v>
                </c:pt>
              </c:strCache>
            </c:strRef>
          </c:cat>
          <c:val>
            <c:numRef>
              <c:f>'Top 5 Place'!$B$4:$B$6</c:f>
              <c:numCache>
                <c:formatCode>General</c:formatCode>
                <c:ptCount val="2"/>
                <c:pt idx="0">
                  <c:v>1856</c:v>
                </c:pt>
                <c:pt idx="1">
                  <c:v>1561</c:v>
                </c:pt>
              </c:numCache>
            </c:numRef>
          </c:val>
          <c:extLst>
            <c:ext xmlns:c16="http://schemas.microsoft.com/office/drawing/2014/chart" uri="{C3380CC4-5D6E-409C-BE32-E72D297353CC}">
              <c16:uniqueId val="{00000000-9A67-48AE-993C-56B45E0A0C00}"/>
            </c:ext>
          </c:extLst>
        </c:ser>
        <c:dLbls>
          <c:dLblPos val="outEnd"/>
          <c:showLegendKey val="0"/>
          <c:showVal val="1"/>
          <c:showCatName val="0"/>
          <c:showSerName val="0"/>
          <c:showPercent val="0"/>
          <c:showBubbleSize val="0"/>
        </c:dLbls>
        <c:gapWidth val="182"/>
        <c:axId val="1504464208"/>
        <c:axId val="1514530736"/>
      </c:barChart>
      <c:catAx>
        <c:axId val="150446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30736"/>
        <c:crosses val="autoZero"/>
        <c:auto val="1"/>
        <c:lblAlgn val="ctr"/>
        <c:lblOffset val="100"/>
        <c:noMultiLvlLbl val="0"/>
      </c:catAx>
      <c:valAx>
        <c:axId val="1514530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46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Dashboard.xlsx]Men vs Women!PivotTable3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a:t>
            </a:r>
            <a:r>
              <a:rPr lang="en-US" baseline="0"/>
              <a:t> vs Women</a:t>
            </a:r>
            <a:endParaRPr lang="en-US"/>
          </a:p>
        </c:rich>
      </c:tx>
      <c:layout>
        <c:manualLayout>
          <c:xMode val="edge"/>
          <c:yMode val="edge"/>
          <c:x val="2.474300087489061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556873907460979"/>
          <c:y val="0.17171296296296298"/>
          <c:w val="0.54980353634577606"/>
          <c:h val="0.77736111111111106"/>
        </c:manualLayout>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5F-4BF6-845D-1CB0CD0517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5F-4BF6-845D-1CB0CD0517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'Men vs Women'!$A$4:$A$6</c:f>
              <c:strCache>
                <c:ptCount val="2"/>
                <c:pt idx="0">
                  <c:v>Female</c:v>
                </c:pt>
                <c:pt idx="1">
                  <c:v>Male</c:v>
                </c:pt>
              </c:strCache>
            </c:strRef>
          </c:cat>
          <c:val>
            <c:numRef>
              <c:f>'Men vs Women'!$B$4:$B$6</c:f>
              <c:numCache>
                <c:formatCode>0%</c:formatCode>
                <c:ptCount val="2"/>
                <c:pt idx="0">
                  <c:v>0.5</c:v>
                </c:pt>
                <c:pt idx="1">
                  <c:v>0.5</c:v>
                </c:pt>
              </c:numCache>
            </c:numRef>
          </c:val>
          <c:extLst>
            <c:ext xmlns:c16="http://schemas.microsoft.com/office/drawing/2014/chart" uri="{C3380CC4-5D6E-409C-BE32-E72D297353CC}">
              <c16:uniqueId val="{00000004-755F-4BF6-845D-1CB0CD0517A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1228718285214346"/>
          <c:y val="1.0045567220764046E-2"/>
          <c:w val="0.268268372703412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Dashboard.xlsx]Age &amp; Gender!PivotTable1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&amp; Gender</a:t>
            </a:r>
            <a:endParaRPr lang="en-US"/>
          </a:p>
        </c:rich>
      </c:tx>
      <c:layout>
        <c:manualLayout>
          <c:xMode val="edge"/>
          <c:yMode val="edge"/>
          <c:x val="0.1452290026246719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83814523184598E-2"/>
          <c:y val="0.17171296296296296"/>
          <c:w val="0.87402559055118112"/>
          <c:h val="0.72125801983085447"/>
        </c:manualLayout>
      </c:layout>
      <c:barChart>
        <c:barDir val="col"/>
        <c:grouping val="clustered"/>
        <c:varyColors val="0"/>
        <c:ser>
          <c:idx val="0"/>
          <c:order val="0"/>
          <c:tx>
            <c:strRef>
              <c:f>'Age &amp;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2"/>
                <c:pt idx="0">
                  <c:v>18+</c:v>
                </c:pt>
                <c:pt idx="1">
                  <c:v>30+</c:v>
                </c:pt>
              </c:strCache>
            </c:strRef>
          </c:cat>
          <c:val>
            <c:numRef>
              <c:f>'Age &amp; Gender'!$B$5:$B$7</c:f>
              <c:numCache>
                <c:formatCode>0%</c:formatCode>
                <c:ptCount val="2"/>
                <c:pt idx="0">
                  <c:v>0.5</c:v>
                </c:pt>
                <c:pt idx="1">
                  <c:v>0</c:v>
                </c:pt>
              </c:numCache>
            </c:numRef>
          </c:val>
          <c:extLst>
            <c:ext xmlns:c16="http://schemas.microsoft.com/office/drawing/2014/chart" uri="{C3380CC4-5D6E-409C-BE32-E72D297353CC}">
              <c16:uniqueId val="{00000000-7D6F-4307-85F8-E42841EAB3E2}"/>
            </c:ext>
          </c:extLst>
        </c:ser>
        <c:ser>
          <c:idx val="1"/>
          <c:order val="1"/>
          <c:tx>
            <c:strRef>
              <c:f>'Age &amp;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2"/>
                <c:pt idx="0">
                  <c:v>18+</c:v>
                </c:pt>
                <c:pt idx="1">
                  <c:v>30+</c:v>
                </c:pt>
              </c:strCache>
            </c:strRef>
          </c:cat>
          <c:val>
            <c:numRef>
              <c:f>'Age &amp; Gender'!$C$5:$C$7</c:f>
              <c:numCache>
                <c:formatCode>0%</c:formatCode>
                <c:ptCount val="2"/>
                <c:pt idx="0">
                  <c:v>0</c:v>
                </c:pt>
                <c:pt idx="1">
                  <c:v>0.5</c:v>
                </c:pt>
              </c:numCache>
            </c:numRef>
          </c:val>
          <c:extLst>
            <c:ext xmlns:c16="http://schemas.microsoft.com/office/drawing/2014/chart" uri="{C3380CC4-5D6E-409C-BE32-E72D297353CC}">
              <c16:uniqueId val="{00000002-154A-4245-BF95-A6467AB9BD94}"/>
            </c:ext>
          </c:extLst>
        </c:ser>
        <c:dLbls>
          <c:dLblPos val="outEnd"/>
          <c:showLegendKey val="0"/>
          <c:showVal val="1"/>
          <c:showCatName val="0"/>
          <c:showSerName val="0"/>
          <c:showPercent val="0"/>
          <c:showBubbleSize val="0"/>
        </c:dLbls>
        <c:gapWidth val="219"/>
        <c:overlap val="-27"/>
        <c:axId val="2077581872"/>
        <c:axId val="1865937904"/>
      </c:barChart>
      <c:catAx>
        <c:axId val="20775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937904"/>
        <c:crosses val="autoZero"/>
        <c:auto val="1"/>
        <c:lblAlgn val="ctr"/>
        <c:lblOffset val="100"/>
        <c:noMultiLvlLbl val="0"/>
      </c:catAx>
      <c:valAx>
        <c:axId val="1865937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81872"/>
        <c:crosses val="autoZero"/>
        <c:crossBetween val="between"/>
      </c:valAx>
      <c:spPr>
        <a:noFill/>
        <a:ln>
          <a:noFill/>
        </a:ln>
        <a:effectLst/>
      </c:spPr>
    </c:plotArea>
    <c:legend>
      <c:legendPos val="r"/>
      <c:layout>
        <c:manualLayout>
          <c:xMode val="edge"/>
          <c:yMode val="edge"/>
          <c:x val="0.52617607174103243"/>
          <c:y val="7.863079615048126E-4"/>
          <c:w val="0.11826837270341208"/>
          <c:h val="0.15581826509913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Dashboard.xlsx]Order Status!PivotTable2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20-4367-B372-C8E5DC2CAE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20-4367-B372-C8E5DC2CAE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20-4367-B372-C8E5DC2CAE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Status'!$A$4:$A$6</c:f>
              <c:strCache>
                <c:ptCount val="2"/>
                <c:pt idx="0">
                  <c:v>Delivered</c:v>
                </c:pt>
                <c:pt idx="1">
                  <c:v>Refunded</c:v>
                </c:pt>
              </c:strCache>
            </c:strRef>
          </c:cat>
          <c:val>
            <c:numRef>
              <c:f>'Order Status'!$B$4:$B$6</c:f>
              <c:numCache>
                <c:formatCode>0%</c:formatCode>
                <c:ptCount val="2"/>
                <c:pt idx="0">
                  <c:v>0.5</c:v>
                </c:pt>
                <c:pt idx="1">
                  <c:v>0.5</c:v>
                </c:pt>
              </c:numCache>
            </c:numRef>
          </c:val>
          <c:extLst>
            <c:ext xmlns:c16="http://schemas.microsoft.com/office/drawing/2014/chart" uri="{C3380CC4-5D6E-409C-BE32-E72D297353CC}">
              <c16:uniqueId val="{00000006-EF20-4367-B372-C8E5DC2CAEF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Dashboard.xlsx]Order vs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vs Sales</a:t>
            </a:r>
            <a:endParaRPr lang="en-US"/>
          </a:p>
        </c:rich>
      </c:tx>
      <c:layout>
        <c:manualLayout>
          <c:xMode val="edge"/>
          <c:yMode val="edge"/>
          <c:x val="8.132633420822396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7171296296296296"/>
          <c:w val="0.82257305336832887"/>
          <c:h val="0.72125801983085447"/>
        </c:manualLayout>
      </c:layout>
      <c:barChart>
        <c:barDir val="col"/>
        <c:grouping val="clustered"/>
        <c:varyColors val="0"/>
        <c:ser>
          <c:idx val="0"/>
          <c:order val="0"/>
          <c:tx>
            <c:strRef>
              <c:f>'Order vs Sales'!$B$3</c:f>
              <c:strCache>
                <c:ptCount val="1"/>
                <c:pt idx="0">
                  <c:v>Sum of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vs Sales'!$A$4:$A$5</c:f>
              <c:strCache>
                <c:ptCount val="1"/>
                <c:pt idx="0">
                  <c:v>Dec</c:v>
                </c:pt>
              </c:strCache>
            </c:strRef>
          </c:cat>
          <c:val>
            <c:numRef>
              <c:f>'Order vs Sales'!$B$4:$B$5</c:f>
              <c:numCache>
                <c:formatCode>General</c:formatCode>
                <c:ptCount val="1"/>
                <c:pt idx="0">
                  <c:v>3417</c:v>
                </c:pt>
              </c:numCache>
            </c:numRef>
          </c:val>
          <c:extLst>
            <c:ext xmlns:c16="http://schemas.microsoft.com/office/drawing/2014/chart" uri="{C3380CC4-5D6E-409C-BE32-E72D297353CC}">
              <c16:uniqueId val="{00000000-C3D9-4985-A325-7DFE29C2AF53}"/>
            </c:ext>
          </c:extLst>
        </c:ser>
        <c:dLbls>
          <c:showLegendKey val="0"/>
          <c:showVal val="1"/>
          <c:showCatName val="0"/>
          <c:showSerName val="0"/>
          <c:showPercent val="0"/>
          <c:showBubbleSize val="0"/>
        </c:dLbls>
        <c:gapWidth val="219"/>
        <c:overlap val="-27"/>
        <c:axId val="2122286192"/>
        <c:axId val="2126289872"/>
      </c:barChart>
      <c:lineChart>
        <c:grouping val="standard"/>
        <c:varyColors val="0"/>
        <c:ser>
          <c:idx val="1"/>
          <c:order val="1"/>
          <c:tx>
            <c:strRef>
              <c:f>'Order vs Sales'!$C$3</c:f>
              <c:strCache>
                <c:ptCount val="1"/>
                <c:pt idx="0">
                  <c:v>Count of Order ID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vs Sales'!$A$4:$A$5</c:f>
              <c:strCache>
                <c:ptCount val="1"/>
                <c:pt idx="0">
                  <c:v>Dec</c:v>
                </c:pt>
              </c:strCache>
            </c:strRef>
          </c:cat>
          <c:val>
            <c:numRef>
              <c:f>'Order vs Sales'!$C$4:$C$5</c:f>
              <c:numCache>
                <c:formatCode>General</c:formatCode>
                <c:ptCount val="1"/>
                <c:pt idx="0">
                  <c:v>2</c:v>
                </c:pt>
              </c:numCache>
            </c:numRef>
          </c:val>
          <c:smooth val="0"/>
          <c:extLst>
            <c:ext xmlns:c16="http://schemas.microsoft.com/office/drawing/2014/chart" uri="{C3380CC4-5D6E-409C-BE32-E72D297353CC}">
              <c16:uniqueId val="{00000001-C3D9-4985-A325-7DFE29C2AF53}"/>
            </c:ext>
          </c:extLst>
        </c:ser>
        <c:dLbls>
          <c:showLegendKey val="0"/>
          <c:showVal val="1"/>
          <c:showCatName val="0"/>
          <c:showSerName val="0"/>
          <c:showPercent val="0"/>
          <c:showBubbleSize val="0"/>
        </c:dLbls>
        <c:marker val="1"/>
        <c:smooth val="0"/>
        <c:axId val="88047728"/>
        <c:axId val="2126292752"/>
      </c:lineChart>
      <c:catAx>
        <c:axId val="21222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89872"/>
        <c:crosses val="autoZero"/>
        <c:auto val="1"/>
        <c:lblAlgn val="ctr"/>
        <c:lblOffset val="100"/>
        <c:noMultiLvlLbl val="0"/>
      </c:catAx>
      <c:valAx>
        <c:axId val="21262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86192"/>
        <c:crosses val="autoZero"/>
        <c:crossBetween val="between"/>
      </c:valAx>
      <c:valAx>
        <c:axId val="2126292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728"/>
        <c:crosses val="max"/>
        <c:crossBetween val="between"/>
      </c:valAx>
      <c:catAx>
        <c:axId val="88047728"/>
        <c:scaling>
          <c:orientation val="minMax"/>
        </c:scaling>
        <c:delete val="1"/>
        <c:axPos val="b"/>
        <c:numFmt formatCode="General" sourceLinked="1"/>
        <c:majorTickMark val="out"/>
        <c:minorTickMark val="none"/>
        <c:tickLblPos val="nextTo"/>
        <c:crossAx val="2126292752"/>
        <c:crosses val="autoZero"/>
        <c:auto val="1"/>
        <c:lblAlgn val="ctr"/>
        <c:lblOffset val="100"/>
        <c:noMultiLvlLbl val="0"/>
      </c:catAx>
      <c:spPr>
        <a:noFill/>
        <a:ln>
          <a:noFill/>
        </a:ln>
        <a:effectLst/>
      </c:spPr>
    </c:plotArea>
    <c:legend>
      <c:legendPos val="r"/>
      <c:layout>
        <c:manualLayout>
          <c:xMode val="edge"/>
          <c:yMode val="edge"/>
          <c:x val="0.3429015748031497"/>
          <c:y val="1.9304826480023306E-2"/>
          <c:w val="0.5793206474190726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Dashboard.xlsx]Channels!PivotTable1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E-4259-A216-B4C0F7EC7B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3E-4259-A216-B4C0F7EC7B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3E-4259-A216-B4C0F7EC7B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3E-4259-A216-B4C0F7EC7BE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3E-4259-A216-B4C0F7EC7BE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3E-4259-A216-B4C0F7EC7B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Channels!$A$4:$A$6</c:f>
              <c:strCache>
                <c:ptCount val="2"/>
                <c:pt idx="0">
                  <c:v>Amazon</c:v>
                </c:pt>
                <c:pt idx="1">
                  <c:v>Meesho</c:v>
                </c:pt>
              </c:strCache>
            </c:strRef>
          </c:cat>
          <c:val>
            <c:numRef>
              <c:f>Channels!$B$4:$B$6</c:f>
              <c:numCache>
                <c:formatCode>0.00%</c:formatCode>
                <c:ptCount val="2"/>
                <c:pt idx="0">
                  <c:v>0.5</c:v>
                </c:pt>
                <c:pt idx="1">
                  <c:v>0.5</c:v>
                </c:pt>
              </c:numCache>
            </c:numRef>
          </c:val>
          <c:extLst>
            <c:ext xmlns:c16="http://schemas.microsoft.com/office/drawing/2014/chart" uri="{C3380CC4-5D6E-409C-BE32-E72D297353CC}">
              <c16:uniqueId val="{00000000-6436-47BB-99C7-69E77482986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Dashboard.xlsx]Top 5 Place!PivotTable2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place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Place'!$B$3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Place'!$A$4:$A$6</c:f>
              <c:strCache>
                <c:ptCount val="2"/>
                <c:pt idx="0">
                  <c:v>JAIPUR</c:v>
                </c:pt>
                <c:pt idx="1">
                  <c:v>SHAHJAHANPUR</c:v>
                </c:pt>
              </c:strCache>
            </c:strRef>
          </c:cat>
          <c:val>
            <c:numRef>
              <c:f>'Top 5 Place'!$B$4:$B$6</c:f>
              <c:numCache>
                <c:formatCode>General</c:formatCode>
                <c:ptCount val="2"/>
                <c:pt idx="0">
                  <c:v>1856</c:v>
                </c:pt>
                <c:pt idx="1">
                  <c:v>1561</c:v>
                </c:pt>
              </c:numCache>
            </c:numRef>
          </c:val>
          <c:extLst>
            <c:ext xmlns:c16="http://schemas.microsoft.com/office/drawing/2014/chart" uri="{C3380CC4-5D6E-409C-BE32-E72D297353CC}">
              <c16:uniqueId val="{00000000-42C6-4E36-A1CC-56335395123C}"/>
            </c:ext>
          </c:extLst>
        </c:ser>
        <c:dLbls>
          <c:dLblPos val="outEnd"/>
          <c:showLegendKey val="0"/>
          <c:showVal val="1"/>
          <c:showCatName val="0"/>
          <c:showSerName val="0"/>
          <c:showPercent val="0"/>
          <c:showBubbleSize val="0"/>
        </c:dLbls>
        <c:gapWidth val="182"/>
        <c:axId val="1504464208"/>
        <c:axId val="1514530736"/>
      </c:barChart>
      <c:catAx>
        <c:axId val="150446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530736"/>
        <c:crosses val="autoZero"/>
        <c:auto val="1"/>
        <c:lblAlgn val="ctr"/>
        <c:lblOffset val="100"/>
        <c:noMultiLvlLbl val="0"/>
      </c:catAx>
      <c:valAx>
        <c:axId val="1514530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46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Dashboard.xlsx]Men vs Women!PivotTable3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a:t>
            </a:r>
            <a:r>
              <a:rPr lang="en-US" baseline="0"/>
              <a:t> vs Women</a:t>
            </a:r>
            <a:endParaRPr lang="en-US"/>
          </a:p>
        </c:rich>
      </c:tx>
      <c:layout>
        <c:manualLayout>
          <c:xMode val="edge"/>
          <c:yMode val="edge"/>
          <c:x val="2.474300087489061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D4-49E2-B094-46D5380547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D4-49E2-B094-46D5380547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'Men vs Women'!$A$4:$A$6</c:f>
              <c:strCache>
                <c:ptCount val="2"/>
                <c:pt idx="0">
                  <c:v>Female</c:v>
                </c:pt>
                <c:pt idx="1">
                  <c:v>Male</c:v>
                </c:pt>
              </c:strCache>
            </c:strRef>
          </c:cat>
          <c:val>
            <c:numRef>
              <c:f>'Men vs Women'!$B$4:$B$6</c:f>
              <c:numCache>
                <c:formatCode>0%</c:formatCode>
                <c:ptCount val="2"/>
                <c:pt idx="0">
                  <c:v>0.5</c:v>
                </c:pt>
                <c:pt idx="1">
                  <c:v>0.5</c:v>
                </c:pt>
              </c:numCache>
            </c:numRef>
          </c:val>
          <c:extLst>
            <c:ext xmlns:c16="http://schemas.microsoft.com/office/drawing/2014/chart" uri="{C3380CC4-5D6E-409C-BE32-E72D297353CC}">
              <c16:uniqueId val="{00000000-8CEF-42C7-B46E-23301B5A4EA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31228718285214346"/>
          <c:y val="1.0045567220764046E-2"/>
          <c:w val="0.268268372703412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Dashboard.xlsx]Age &amp; Gender!PivotTable1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&amp; Gender</a:t>
            </a:r>
            <a:endParaRPr lang="en-US"/>
          </a:p>
        </c:rich>
      </c:tx>
      <c:layout>
        <c:manualLayout>
          <c:xMode val="edge"/>
          <c:yMode val="edge"/>
          <c:x val="0.1452290026246719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83814523184598E-2"/>
          <c:y val="0.17171296296296296"/>
          <c:w val="0.87402559055118112"/>
          <c:h val="0.72125801983085447"/>
        </c:manualLayout>
      </c:layout>
      <c:barChart>
        <c:barDir val="col"/>
        <c:grouping val="clustered"/>
        <c:varyColors val="0"/>
        <c:ser>
          <c:idx val="0"/>
          <c:order val="0"/>
          <c:tx>
            <c:strRef>
              <c:f>'Age &amp;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2"/>
                <c:pt idx="0">
                  <c:v>18+</c:v>
                </c:pt>
                <c:pt idx="1">
                  <c:v>30+</c:v>
                </c:pt>
              </c:strCache>
            </c:strRef>
          </c:cat>
          <c:val>
            <c:numRef>
              <c:f>'Age &amp; Gender'!$B$5:$B$7</c:f>
              <c:numCache>
                <c:formatCode>0%</c:formatCode>
                <c:ptCount val="2"/>
                <c:pt idx="0">
                  <c:v>0.5</c:v>
                </c:pt>
                <c:pt idx="1">
                  <c:v>0</c:v>
                </c:pt>
              </c:numCache>
            </c:numRef>
          </c:val>
          <c:extLst>
            <c:ext xmlns:c16="http://schemas.microsoft.com/office/drawing/2014/chart" uri="{C3380CC4-5D6E-409C-BE32-E72D297353CC}">
              <c16:uniqueId val="{00000000-1FE5-45A1-B96C-EDADA38CC5C5}"/>
            </c:ext>
          </c:extLst>
        </c:ser>
        <c:ser>
          <c:idx val="1"/>
          <c:order val="1"/>
          <c:tx>
            <c:strRef>
              <c:f>'Age &amp;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2"/>
                <c:pt idx="0">
                  <c:v>18+</c:v>
                </c:pt>
                <c:pt idx="1">
                  <c:v>30+</c:v>
                </c:pt>
              </c:strCache>
            </c:strRef>
          </c:cat>
          <c:val>
            <c:numRef>
              <c:f>'Age &amp; Gender'!$C$5:$C$7</c:f>
              <c:numCache>
                <c:formatCode>0%</c:formatCode>
                <c:ptCount val="2"/>
                <c:pt idx="0">
                  <c:v>0</c:v>
                </c:pt>
                <c:pt idx="1">
                  <c:v>0.5</c:v>
                </c:pt>
              </c:numCache>
            </c:numRef>
          </c:val>
          <c:extLst>
            <c:ext xmlns:c16="http://schemas.microsoft.com/office/drawing/2014/chart" uri="{C3380CC4-5D6E-409C-BE32-E72D297353CC}">
              <c16:uniqueId val="{00000001-0A9B-4B35-A496-49EFF7FC2C58}"/>
            </c:ext>
          </c:extLst>
        </c:ser>
        <c:dLbls>
          <c:dLblPos val="outEnd"/>
          <c:showLegendKey val="0"/>
          <c:showVal val="1"/>
          <c:showCatName val="0"/>
          <c:showSerName val="0"/>
          <c:showPercent val="0"/>
          <c:showBubbleSize val="0"/>
        </c:dLbls>
        <c:gapWidth val="219"/>
        <c:overlap val="-27"/>
        <c:axId val="2077581872"/>
        <c:axId val="1865937904"/>
      </c:barChart>
      <c:catAx>
        <c:axId val="20775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937904"/>
        <c:crosses val="autoZero"/>
        <c:auto val="1"/>
        <c:lblAlgn val="ctr"/>
        <c:lblOffset val="100"/>
        <c:noMultiLvlLbl val="0"/>
      </c:catAx>
      <c:valAx>
        <c:axId val="1865937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581872"/>
        <c:crosses val="autoZero"/>
        <c:crossBetween val="between"/>
      </c:valAx>
      <c:spPr>
        <a:noFill/>
        <a:ln>
          <a:noFill/>
        </a:ln>
        <a:effectLst/>
      </c:spPr>
    </c:plotArea>
    <c:legend>
      <c:legendPos val="r"/>
      <c:layout>
        <c:manualLayout>
          <c:xMode val="edge"/>
          <c:yMode val="edge"/>
          <c:x val="0.52617607174103243"/>
          <c:y val="7.863079615048126E-4"/>
          <c:w val="0.11826837270341208"/>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Dashboard.xlsx]Order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F2-4671-BB5A-7026CD38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F2-4671-BB5A-7026CD38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F2-4671-BB5A-7026CD38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Status'!$A$4:$A$6</c:f>
              <c:strCache>
                <c:ptCount val="2"/>
                <c:pt idx="0">
                  <c:v>Delivered</c:v>
                </c:pt>
                <c:pt idx="1">
                  <c:v>Refunded</c:v>
                </c:pt>
              </c:strCache>
            </c:strRef>
          </c:cat>
          <c:val>
            <c:numRef>
              <c:f>'Order Status'!$B$4:$B$6</c:f>
              <c:numCache>
                <c:formatCode>0%</c:formatCode>
                <c:ptCount val="2"/>
                <c:pt idx="0">
                  <c:v>0.5</c:v>
                </c:pt>
                <c:pt idx="1">
                  <c:v>0.5</c:v>
                </c:pt>
              </c:numCache>
            </c:numRef>
          </c:val>
          <c:extLst>
            <c:ext xmlns:c16="http://schemas.microsoft.com/office/drawing/2014/chart" uri="{C3380CC4-5D6E-409C-BE32-E72D297353CC}">
              <c16:uniqueId val="{00000000-BC26-4EDA-AF24-537B301D079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Sales Dashboard.xlsx]Order vs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vs Sales</a:t>
            </a:r>
            <a:endParaRPr lang="en-US"/>
          </a:p>
        </c:rich>
      </c:tx>
      <c:layout>
        <c:manualLayout>
          <c:xMode val="edge"/>
          <c:yMode val="edge"/>
          <c:x val="8.132633420822396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7171296296296296"/>
          <c:w val="0.82257305336832887"/>
          <c:h val="0.72125801983085447"/>
        </c:manualLayout>
      </c:layout>
      <c:barChart>
        <c:barDir val="col"/>
        <c:grouping val="clustered"/>
        <c:varyColors val="0"/>
        <c:ser>
          <c:idx val="0"/>
          <c:order val="0"/>
          <c:tx>
            <c:strRef>
              <c:f>'Order vs Sales'!$B$3</c:f>
              <c:strCache>
                <c:ptCount val="1"/>
                <c:pt idx="0">
                  <c:v>Sum of Amount</c:v>
                </c:pt>
              </c:strCache>
            </c:strRef>
          </c:tx>
          <c:spPr>
            <a:solidFill>
              <a:schemeClr val="accent1"/>
            </a:solidFill>
            <a:ln>
              <a:noFill/>
            </a:ln>
            <a:effectLst/>
          </c:spPr>
          <c:invertIfNegative val="0"/>
          <c:cat>
            <c:strRef>
              <c:f>'Order vs Sales'!$A$4:$A$5</c:f>
              <c:strCache>
                <c:ptCount val="1"/>
                <c:pt idx="0">
                  <c:v>Dec</c:v>
                </c:pt>
              </c:strCache>
            </c:strRef>
          </c:cat>
          <c:val>
            <c:numRef>
              <c:f>'Order vs Sales'!$B$4:$B$5</c:f>
              <c:numCache>
                <c:formatCode>General</c:formatCode>
                <c:ptCount val="1"/>
                <c:pt idx="0">
                  <c:v>3417</c:v>
                </c:pt>
              </c:numCache>
            </c:numRef>
          </c:val>
          <c:extLst>
            <c:ext xmlns:c16="http://schemas.microsoft.com/office/drawing/2014/chart" uri="{C3380CC4-5D6E-409C-BE32-E72D297353CC}">
              <c16:uniqueId val="{00000000-8420-4F4D-AE8E-E57030827281}"/>
            </c:ext>
          </c:extLst>
        </c:ser>
        <c:dLbls>
          <c:showLegendKey val="0"/>
          <c:showVal val="0"/>
          <c:showCatName val="0"/>
          <c:showSerName val="0"/>
          <c:showPercent val="0"/>
          <c:showBubbleSize val="0"/>
        </c:dLbls>
        <c:gapWidth val="219"/>
        <c:overlap val="-27"/>
        <c:axId val="2122286192"/>
        <c:axId val="2126289872"/>
      </c:barChart>
      <c:lineChart>
        <c:grouping val="standard"/>
        <c:varyColors val="0"/>
        <c:ser>
          <c:idx val="1"/>
          <c:order val="1"/>
          <c:tx>
            <c:strRef>
              <c:f>'Order vs Sales'!$C$3</c:f>
              <c:strCache>
                <c:ptCount val="1"/>
                <c:pt idx="0">
                  <c:v>Count of Order ID</c:v>
                </c:pt>
              </c:strCache>
            </c:strRef>
          </c:tx>
          <c:spPr>
            <a:ln w="28575" cap="rnd">
              <a:solidFill>
                <a:schemeClr val="accent2"/>
              </a:solidFill>
              <a:round/>
            </a:ln>
            <a:effectLst/>
          </c:spPr>
          <c:marker>
            <c:symbol val="none"/>
          </c:marker>
          <c:cat>
            <c:strRef>
              <c:f>'Order vs Sales'!$A$4:$A$5</c:f>
              <c:strCache>
                <c:ptCount val="1"/>
                <c:pt idx="0">
                  <c:v>Dec</c:v>
                </c:pt>
              </c:strCache>
            </c:strRef>
          </c:cat>
          <c:val>
            <c:numRef>
              <c:f>'Order vs Sales'!$C$4:$C$5</c:f>
              <c:numCache>
                <c:formatCode>General</c:formatCode>
                <c:ptCount val="1"/>
                <c:pt idx="0">
                  <c:v>2</c:v>
                </c:pt>
              </c:numCache>
            </c:numRef>
          </c:val>
          <c:smooth val="0"/>
          <c:extLst>
            <c:ext xmlns:c16="http://schemas.microsoft.com/office/drawing/2014/chart" uri="{C3380CC4-5D6E-409C-BE32-E72D297353CC}">
              <c16:uniqueId val="{00000001-8420-4F4D-AE8E-E57030827281}"/>
            </c:ext>
          </c:extLst>
        </c:ser>
        <c:dLbls>
          <c:showLegendKey val="0"/>
          <c:showVal val="0"/>
          <c:showCatName val="0"/>
          <c:showSerName val="0"/>
          <c:showPercent val="0"/>
          <c:showBubbleSize val="0"/>
        </c:dLbls>
        <c:marker val="1"/>
        <c:smooth val="0"/>
        <c:axId val="88047728"/>
        <c:axId val="2126292752"/>
      </c:lineChart>
      <c:catAx>
        <c:axId val="21222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89872"/>
        <c:crosses val="autoZero"/>
        <c:auto val="1"/>
        <c:lblAlgn val="ctr"/>
        <c:lblOffset val="100"/>
        <c:noMultiLvlLbl val="0"/>
      </c:catAx>
      <c:valAx>
        <c:axId val="21262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86192"/>
        <c:crosses val="autoZero"/>
        <c:crossBetween val="between"/>
      </c:valAx>
      <c:valAx>
        <c:axId val="2126292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728"/>
        <c:crosses val="max"/>
        <c:crossBetween val="between"/>
      </c:valAx>
      <c:catAx>
        <c:axId val="88047728"/>
        <c:scaling>
          <c:orientation val="minMax"/>
        </c:scaling>
        <c:delete val="1"/>
        <c:axPos val="b"/>
        <c:numFmt formatCode="General" sourceLinked="1"/>
        <c:majorTickMark val="out"/>
        <c:minorTickMark val="none"/>
        <c:tickLblPos val="nextTo"/>
        <c:crossAx val="2126292752"/>
        <c:crosses val="autoZero"/>
        <c:auto val="1"/>
        <c:lblAlgn val="ctr"/>
        <c:lblOffset val="100"/>
        <c:noMultiLvlLbl val="0"/>
      </c:catAx>
      <c:spPr>
        <a:noFill/>
        <a:ln>
          <a:noFill/>
        </a:ln>
        <a:effectLst/>
      </c:spPr>
    </c:plotArea>
    <c:legend>
      <c:legendPos val="r"/>
      <c:layout>
        <c:manualLayout>
          <c:xMode val="edge"/>
          <c:yMode val="edge"/>
          <c:x val="0.3429015748031497"/>
          <c:y val="1.9304826480023306E-2"/>
          <c:w val="0.5793206474190726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68580</xdr:colOff>
      <xdr:row>2</xdr:row>
      <xdr:rowOff>137160</xdr:rowOff>
    </xdr:from>
    <xdr:to>
      <xdr:col>5</xdr:col>
      <xdr:colOff>281940</xdr:colOff>
      <xdr:row>17</xdr:row>
      <xdr:rowOff>137160</xdr:rowOff>
    </xdr:to>
    <xdr:graphicFrame macro="">
      <xdr:nvGraphicFramePr>
        <xdr:cNvPr id="2" name="Chart 1">
          <a:extLst>
            <a:ext uri="{FF2B5EF4-FFF2-40B4-BE49-F238E27FC236}">
              <a16:creationId xmlns:a16="http://schemas.microsoft.com/office/drawing/2014/main" id="{9A73C52D-5871-4E8B-A762-90B5FA309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320040</xdr:colOff>
      <xdr:row>2</xdr:row>
      <xdr:rowOff>152400</xdr:rowOff>
    </xdr:from>
    <xdr:to>
      <xdr:col>13</xdr:col>
      <xdr:colOff>15240</xdr:colOff>
      <xdr:row>17</xdr:row>
      <xdr:rowOff>152400</xdr:rowOff>
    </xdr:to>
    <xdr:graphicFrame macro="">
      <xdr:nvGraphicFramePr>
        <xdr:cNvPr id="3" name="Chart 2">
          <a:extLst>
            <a:ext uri="{FF2B5EF4-FFF2-40B4-BE49-F238E27FC236}">
              <a16:creationId xmlns:a16="http://schemas.microsoft.com/office/drawing/2014/main" id="{35CF825B-41F4-421F-9813-44E40DF18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45720</xdr:colOff>
      <xdr:row>2</xdr:row>
      <xdr:rowOff>160020</xdr:rowOff>
    </xdr:from>
    <xdr:to>
      <xdr:col>19</xdr:col>
      <xdr:colOff>266700</xdr:colOff>
      <xdr:row>17</xdr:row>
      <xdr:rowOff>160020</xdr:rowOff>
    </xdr:to>
    <xdr:graphicFrame macro="">
      <xdr:nvGraphicFramePr>
        <xdr:cNvPr id="4" name="Chart 3">
          <a:extLst>
            <a:ext uri="{FF2B5EF4-FFF2-40B4-BE49-F238E27FC236}">
              <a16:creationId xmlns:a16="http://schemas.microsoft.com/office/drawing/2014/main" id="{778680DB-EC16-4180-B214-C7D5D87FF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18</xdr:row>
      <xdr:rowOff>0</xdr:rowOff>
    </xdr:from>
    <xdr:to>
      <xdr:col>7</xdr:col>
      <xdr:colOff>373380</xdr:colOff>
      <xdr:row>33</xdr:row>
      <xdr:rowOff>0</xdr:rowOff>
    </xdr:to>
    <xdr:graphicFrame macro="">
      <xdr:nvGraphicFramePr>
        <xdr:cNvPr id="5" name="Chart 4">
          <a:extLst>
            <a:ext uri="{FF2B5EF4-FFF2-40B4-BE49-F238E27FC236}">
              <a16:creationId xmlns:a16="http://schemas.microsoft.com/office/drawing/2014/main" id="{57A71634-B8A8-4E16-9778-C9414D13A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411480</xdr:colOff>
      <xdr:row>18</xdr:row>
      <xdr:rowOff>15240</xdr:rowOff>
    </xdr:from>
    <xdr:to>
      <xdr:col>13</xdr:col>
      <xdr:colOff>7620</xdr:colOff>
      <xdr:row>33</xdr:row>
      <xdr:rowOff>15240</xdr:rowOff>
    </xdr:to>
    <xdr:graphicFrame macro="">
      <xdr:nvGraphicFramePr>
        <xdr:cNvPr id="6" name="Chart 5">
          <a:extLst>
            <a:ext uri="{FF2B5EF4-FFF2-40B4-BE49-F238E27FC236}">
              <a16:creationId xmlns:a16="http://schemas.microsoft.com/office/drawing/2014/main" id="{E2BF62DE-DED2-40D9-81E6-94A7DE90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68580</xdr:colOff>
      <xdr:row>18</xdr:row>
      <xdr:rowOff>15240</xdr:rowOff>
    </xdr:from>
    <xdr:to>
      <xdr:col>20</xdr:col>
      <xdr:colOff>373380</xdr:colOff>
      <xdr:row>33</xdr:row>
      <xdr:rowOff>15240</xdr:rowOff>
    </xdr:to>
    <xdr:graphicFrame macro="">
      <xdr:nvGraphicFramePr>
        <xdr:cNvPr id="7" name="Chart 6">
          <a:extLst>
            <a:ext uri="{FF2B5EF4-FFF2-40B4-BE49-F238E27FC236}">
              <a16:creationId xmlns:a16="http://schemas.microsoft.com/office/drawing/2014/main" id="{C9184361-4316-40FE-872B-3C4D87999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320040</xdr:colOff>
      <xdr:row>2</xdr:row>
      <xdr:rowOff>175260</xdr:rowOff>
    </xdr:from>
    <xdr:to>
      <xdr:col>22</xdr:col>
      <xdr:colOff>320040</xdr:colOff>
      <xdr:row>17</xdr:row>
      <xdr:rowOff>144780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2AED7A84-3971-CCD9-BFF2-D4ACD72408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902440" y="541020"/>
              <a:ext cx="1828800" cy="2712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182880</xdr:colOff>
      <xdr:row>0</xdr:row>
      <xdr:rowOff>68580</xdr:rowOff>
    </xdr:from>
    <xdr:to>
      <xdr:col>14</xdr:col>
      <xdr:colOff>457200</xdr:colOff>
      <xdr:row>2</xdr:row>
      <xdr:rowOff>83820</xdr:rowOff>
    </xdr:to>
    <xdr:sp macro="" textlink="">
      <xdr:nvSpPr>
        <xdr:cNvPr id="9" name="TextBox 8">
          <a:extLst>
            <a:ext uri="{FF2B5EF4-FFF2-40B4-BE49-F238E27FC236}">
              <a16:creationId xmlns:a16="http://schemas.microsoft.com/office/drawing/2014/main" id="{6C8E8A9A-5F03-8C70-41AF-4FABF17FCA4C}"/>
            </a:ext>
          </a:extLst>
        </xdr:cNvPr>
        <xdr:cNvSpPr txBox="1"/>
      </xdr:nvSpPr>
      <xdr:spPr>
        <a:xfrm>
          <a:off x="5059680" y="68580"/>
          <a:ext cx="3931920" cy="381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sng">
              <a:latin typeface="Albertus Extra Bold" panose="020E0802040304020204" pitchFamily="34" charset="0"/>
            </a:rPr>
            <a:t>Simple &amp; Interactive</a:t>
          </a:r>
          <a:r>
            <a:rPr lang="en-US" sz="1600" b="1" i="0" u="sng" baseline="0">
              <a:latin typeface="Albertus Extra Bold" panose="020E0802040304020204" pitchFamily="34" charset="0"/>
            </a:rPr>
            <a:t> Sales Dashboard</a:t>
          </a:r>
          <a:endParaRPr lang="en-US" sz="1600" b="1" i="0" u="sng">
            <a:latin typeface="Albertus Extra Bold" panose="020E08020403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2</xdr:row>
      <xdr:rowOff>167640</xdr:rowOff>
    </xdr:from>
    <xdr:to>
      <xdr:col>8</xdr:col>
      <xdr:colOff>411480</xdr:colOff>
      <xdr:row>17</xdr:row>
      <xdr:rowOff>167640</xdr:rowOff>
    </xdr:to>
    <xdr:graphicFrame macro="">
      <xdr:nvGraphicFramePr>
        <xdr:cNvPr id="5" name="Chart 4">
          <a:extLst>
            <a:ext uri="{FF2B5EF4-FFF2-40B4-BE49-F238E27FC236}">
              <a16:creationId xmlns:a16="http://schemas.microsoft.com/office/drawing/2014/main" id="{61588287-53E0-079A-04D3-051B1A67B6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464820</xdr:colOff>
      <xdr:row>2</xdr:row>
      <xdr:rowOff>7620</xdr:rowOff>
    </xdr:from>
    <xdr:to>
      <xdr:col>10</xdr:col>
      <xdr:colOff>160020</xdr:colOff>
      <xdr:row>17</xdr:row>
      <xdr:rowOff>7620</xdr:rowOff>
    </xdr:to>
    <xdr:graphicFrame macro="">
      <xdr:nvGraphicFramePr>
        <xdr:cNvPr id="3" name="Chart 2">
          <a:extLst>
            <a:ext uri="{FF2B5EF4-FFF2-40B4-BE49-F238E27FC236}">
              <a16:creationId xmlns:a16="http://schemas.microsoft.com/office/drawing/2014/main" id="{508955BB-F00E-485F-BA04-C43671CB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281940</xdr:colOff>
      <xdr:row>2</xdr:row>
      <xdr:rowOff>30480</xdr:rowOff>
    </xdr:from>
    <xdr:to>
      <xdr:col>9</xdr:col>
      <xdr:colOff>586740</xdr:colOff>
      <xdr:row>17</xdr:row>
      <xdr:rowOff>30480</xdr:rowOff>
    </xdr:to>
    <xdr:graphicFrame macro="">
      <xdr:nvGraphicFramePr>
        <xdr:cNvPr id="2" name="Chart 1">
          <a:extLst>
            <a:ext uri="{FF2B5EF4-FFF2-40B4-BE49-F238E27FC236}">
              <a16:creationId xmlns:a16="http://schemas.microsoft.com/office/drawing/2014/main" id="{D48434CF-F7AC-9B57-DA36-F0E7CC752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175260</xdr:colOff>
      <xdr:row>1</xdr:row>
      <xdr:rowOff>114300</xdr:rowOff>
    </xdr:from>
    <xdr:to>
      <xdr:col>11</xdr:col>
      <xdr:colOff>480060</xdr:colOff>
      <xdr:row>16</xdr:row>
      <xdr:rowOff>114300</xdr:rowOff>
    </xdr:to>
    <xdr:graphicFrame macro="">
      <xdr:nvGraphicFramePr>
        <xdr:cNvPr id="2" name="Chart 1">
          <a:extLst>
            <a:ext uri="{FF2B5EF4-FFF2-40B4-BE49-F238E27FC236}">
              <a16:creationId xmlns:a16="http://schemas.microsoft.com/office/drawing/2014/main" id="{315F1880-AFBC-AC34-7694-66071337C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144780</xdr:colOff>
      <xdr:row>2</xdr:row>
      <xdr:rowOff>7620</xdr:rowOff>
    </xdr:from>
    <xdr:to>
      <xdr:col>7</xdr:col>
      <xdr:colOff>350520</xdr:colOff>
      <xdr:row>17</xdr:row>
      <xdr:rowOff>7620</xdr:rowOff>
    </xdr:to>
    <xdr:graphicFrame macro="">
      <xdr:nvGraphicFramePr>
        <xdr:cNvPr id="2" name="Chart 1">
          <a:extLst>
            <a:ext uri="{FF2B5EF4-FFF2-40B4-BE49-F238E27FC236}">
              <a16:creationId xmlns:a16="http://schemas.microsoft.com/office/drawing/2014/main" id="{A49FA780-5291-19B0-3943-76651B1A7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137160</xdr:colOff>
      <xdr:row>1</xdr:row>
      <xdr:rowOff>179070</xdr:rowOff>
    </xdr:from>
    <xdr:to>
      <xdr:col>10</xdr:col>
      <xdr:colOff>441960</xdr:colOff>
      <xdr:row>16</xdr:row>
      <xdr:rowOff>179070</xdr:rowOff>
    </xdr:to>
    <xdr:graphicFrame macro="">
      <xdr:nvGraphicFramePr>
        <xdr:cNvPr id="2" name="Chart 1">
          <a:extLst>
            <a:ext uri="{FF2B5EF4-FFF2-40B4-BE49-F238E27FC236}">
              <a16:creationId xmlns:a16="http://schemas.microsoft.com/office/drawing/2014/main" id="{0528ED5F-0CFC-E673-6FE8-FC7AC8EDB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0.934322685185" createdVersion="8" refreshedVersion="8" minRefreshableVersion="3" recordCount="15" xr:uid="{3AD33E35-BDB1-4EEB-B55B-0B99EC846B4D}">
  <cacheSource type="worksheet">
    <worksheetSource name="Table1"/>
  </cacheSource>
  <cacheFields count="16">
    <cacheField name="S.No." numFmtId="0">
      <sharedItems containsSemiMixedTypes="0" containsString="0" containsNumber="1" containsInteger="1" minValue="1" maxValue="15"/>
    </cacheField>
    <cacheField name="Order ID" numFmtId="0">
      <sharedItems containsSemiMixedTypes="0" containsString="0" containsNumber="1" containsInteger="1" minValue="1200" maxValue="7856"/>
    </cacheField>
    <cacheField name="Customer ID" numFmtId="0">
      <sharedItems containsSemiMixedTypes="0" containsString="0" containsNumber="1" containsInteger="1" minValue="1122" maxValue="1199"/>
    </cacheField>
    <cacheField name="Customer Name" numFmtId="0">
      <sharedItems/>
    </cacheField>
    <cacheField name="Gender" numFmtId="0">
      <sharedItems count="2">
        <s v="Male"/>
        <s v="Female"/>
      </sharedItems>
    </cacheField>
    <cacheField name="Age" numFmtId="0">
      <sharedItems containsSemiMixedTypes="0" containsString="0" containsNumber="1" containsInteger="1" minValue="19" maxValue="66"/>
    </cacheField>
    <cacheField name="Age Group" numFmtId="0">
      <sharedItems count="6">
        <s v="20+"/>
        <s v="50+"/>
        <s v="40+"/>
        <s v="18+"/>
        <s v="60+"/>
        <s v="30+"/>
      </sharedItems>
    </cacheField>
    <cacheField name="Date" numFmtId="14">
      <sharedItems containsDate="1" containsMixedTypes="1" minDate="2022-01-01T00:00:00" maxDate="2022-12-05T00:00:00"/>
    </cacheField>
    <cacheField name="Month" numFmtId="0">
      <sharedItems count="10">
        <s v="Jan"/>
        <s v="Feb"/>
        <s v="Mar"/>
        <s v="April"/>
        <s v="May"/>
        <s v="June"/>
        <s v="July"/>
        <s v="Nov"/>
        <s v="Dec"/>
        <s v="Oct"/>
      </sharedItems>
    </cacheField>
    <cacheField name="Status" numFmtId="0">
      <sharedItems count="3">
        <s v="Delivered"/>
        <s v="Cancelled"/>
        <s v="Refunded"/>
      </sharedItems>
    </cacheField>
    <cacheField name="Channel" numFmtId="0">
      <sharedItems count="6">
        <s v="Myntra"/>
        <s v="Ajio"/>
        <s v="Amazom"/>
        <s v="Meesho"/>
        <s v="Flipkart"/>
        <s v="Amazon"/>
      </sharedItems>
    </cacheField>
    <cacheField name="Category" numFmtId="0">
      <sharedItems/>
    </cacheField>
    <cacheField name="Qty" numFmtId="0">
      <sharedItems containsSemiMixedTypes="0" containsString="0" containsNumber="1" containsInteger="1" minValue="2" maxValue="22"/>
    </cacheField>
    <cacheField name="Amount" numFmtId="0">
      <sharedItems containsSemiMixedTypes="0" containsString="0" containsNumber="1" containsInteger="1" minValue="265" maxValue="1952"/>
    </cacheField>
    <cacheField name="Ship-state" numFmtId="0">
      <sharedItems count="15">
        <s v="PUNJAB"/>
        <s v="HARYANA"/>
        <s v="BAREILLY"/>
        <s v="DELHI"/>
        <s v="KANPUR"/>
        <s v="RAMPUR"/>
        <s v="LUCKNOW"/>
        <s v="SITAPUR"/>
        <s v="PORBANDAR"/>
        <s v="BANDA"/>
        <s v="LAKHIMPUR"/>
        <s v="SHAHJAHANPUR"/>
        <s v="RAIPUR"/>
        <s v="JAIPUR"/>
        <s v="KERAL"/>
      </sharedItems>
    </cacheField>
    <cacheField name="Ship-postal-code" numFmtId="0">
      <sharedItems containsSemiMixedTypes="0" containsString="0" containsNumber="1" containsInteger="1" minValue="120065" maxValue="785136"/>
    </cacheField>
  </cacheFields>
  <extLst>
    <ext xmlns:x14="http://schemas.microsoft.com/office/spreadsheetml/2009/9/main" uri="{725AE2AE-9491-48be-B2B4-4EB974FC3084}">
      <x14:pivotCacheDefinition pivotCacheId="1015716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n v="2456"/>
    <n v="1122"/>
    <s v="Ankit"/>
    <x v="0"/>
    <n v="24"/>
    <x v="0"/>
    <d v="2022-01-01T00:00:00"/>
    <x v="0"/>
    <x v="0"/>
    <x v="0"/>
    <s v="Mouse"/>
    <n v="2"/>
    <n v="376"/>
    <x v="0"/>
    <n v="140301"/>
  </r>
  <r>
    <n v="2"/>
    <n v="4526"/>
    <n v="1133"/>
    <s v="Ankush"/>
    <x v="0"/>
    <n v="26"/>
    <x v="0"/>
    <d v="2022-02-02T00:00:00"/>
    <x v="1"/>
    <x v="0"/>
    <x v="1"/>
    <s v="Keyboard"/>
    <n v="3"/>
    <n v="1449"/>
    <x v="1"/>
    <n v="122002"/>
  </r>
  <r>
    <n v="3"/>
    <n v="7852"/>
    <n v="1144"/>
    <s v="Amit"/>
    <x v="0"/>
    <n v="56"/>
    <x v="1"/>
    <d v="2022-03-03T00:00:00"/>
    <x v="2"/>
    <x v="0"/>
    <x v="0"/>
    <s v="Laptop"/>
    <n v="7"/>
    <n v="453"/>
    <x v="2"/>
    <n v="700029"/>
  </r>
  <r>
    <n v="4"/>
    <n v="3561"/>
    <n v="1155"/>
    <s v="Varsha"/>
    <x v="1"/>
    <n v="45"/>
    <x v="2"/>
    <d v="2022-04-04T00:00:00"/>
    <x v="3"/>
    <x v="0"/>
    <x v="2"/>
    <s v="Monitor"/>
    <n v="5"/>
    <n v="265"/>
    <x v="3"/>
    <n v="613002"/>
  </r>
  <r>
    <n v="5"/>
    <n v="1253"/>
    <n v="1166"/>
    <s v="Sumit"/>
    <x v="0"/>
    <n v="23"/>
    <x v="0"/>
    <d v="2022-05-05T00:00:00"/>
    <x v="4"/>
    <x v="1"/>
    <x v="3"/>
    <s v="Graphic"/>
    <n v="6"/>
    <n v="456"/>
    <x v="4"/>
    <n v="122001"/>
  </r>
  <r>
    <n v="6"/>
    <n v="4523"/>
    <n v="1177"/>
    <s v="Rohit"/>
    <x v="0"/>
    <n v="19"/>
    <x v="3"/>
    <d v="2022-03-06T00:00:00"/>
    <x v="5"/>
    <x v="1"/>
    <x v="4"/>
    <s v="RAM"/>
    <n v="4"/>
    <n v="899"/>
    <x v="5"/>
    <n v="560029"/>
  </r>
  <r>
    <n v="7"/>
    <n v="1200"/>
    <n v="1188"/>
    <s v="Rahul"/>
    <x v="0"/>
    <n v="24"/>
    <x v="0"/>
    <d v="2022-10-04T00:00:00"/>
    <x v="6"/>
    <x v="1"/>
    <x v="0"/>
    <s v="SSD"/>
    <n v="2"/>
    <n v="1200"/>
    <x v="6"/>
    <n v="120065"/>
  </r>
  <r>
    <n v="8"/>
    <n v="1546"/>
    <n v="1199"/>
    <s v="Nitin"/>
    <x v="0"/>
    <n v="66"/>
    <x v="4"/>
    <d v="2022-12-04T00:00:00"/>
    <x v="0"/>
    <x v="1"/>
    <x v="3"/>
    <s v="HDD"/>
    <n v="5"/>
    <n v="1900"/>
    <x v="7"/>
    <n v="145662"/>
  </r>
  <r>
    <n v="9"/>
    <n v="7856"/>
    <n v="1123"/>
    <s v="Kaushal"/>
    <x v="0"/>
    <n v="64"/>
    <x v="4"/>
    <s v="13/04/2022"/>
    <x v="1"/>
    <x v="2"/>
    <x v="3"/>
    <s v="Motherboard"/>
    <n v="8"/>
    <n v="1650"/>
    <x v="8"/>
    <n v="695201"/>
  </r>
  <r>
    <n v="10"/>
    <n v="2563"/>
    <n v="1124"/>
    <s v="Nigam"/>
    <x v="0"/>
    <n v="49"/>
    <x v="2"/>
    <s v="14/05/2022"/>
    <x v="2"/>
    <x v="2"/>
    <x v="1"/>
    <s v="CD"/>
    <n v="9"/>
    <n v="1350"/>
    <x v="9"/>
    <n v="450123"/>
  </r>
  <r>
    <n v="11"/>
    <n v="4589"/>
    <n v="1125"/>
    <s v="Surya"/>
    <x v="0"/>
    <n v="38"/>
    <x v="5"/>
    <s v="16/05/2022"/>
    <x v="7"/>
    <x v="2"/>
    <x v="3"/>
    <s v="DVD"/>
    <n v="6"/>
    <n v="1499"/>
    <x v="10"/>
    <n v="785136"/>
  </r>
  <r>
    <n v="12"/>
    <n v="6571"/>
    <n v="1126"/>
    <s v="Sanjay"/>
    <x v="0"/>
    <n v="34"/>
    <x v="5"/>
    <s v="17/7/2022"/>
    <x v="8"/>
    <x v="0"/>
    <x v="5"/>
    <s v="Processor"/>
    <n v="10"/>
    <n v="1561"/>
    <x v="11"/>
    <n v="242001"/>
  </r>
  <r>
    <n v="13"/>
    <n v="2679"/>
    <n v="1127"/>
    <s v="Nitesh"/>
    <x v="0"/>
    <n v="28"/>
    <x v="0"/>
    <d v="2022-03-13T00:00:00"/>
    <x v="9"/>
    <x v="1"/>
    <x v="5"/>
    <s v="Fan"/>
    <n v="22"/>
    <n v="1657"/>
    <x v="12"/>
    <n v="243123"/>
  </r>
  <r>
    <n v="14"/>
    <n v="1563"/>
    <n v="1128"/>
    <s v="Soniya"/>
    <x v="1"/>
    <n v="19"/>
    <x v="3"/>
    <d v="2022-03-14T00:00:00"/>
    <x v="8"/>
    <x v="2"/>
    <x v="3"/>
    <s v="Router"/>
    <n v="19"/>
    <n v="1856"/>
    <x v="13"/>
    <n v="256123"/>
  </r>
  <r>
    <n v="15"/>
    <n v="7264"/>
    <n v="1129"/>
    <s v="Manju"/>
    <x v="1"/>
    <n v="19"/>
    <x v="3"/>
    <d v="2022-03-15T00:00:00"/>
    <x v="1"/>
    <x v="0"/>
    <x v="0"/>
    <s v="Keyboard"/>
    <n v="12"/>
    <n v="1952"/>
    <x v="14"/>
    <n v="2561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6E72FB-5A3B-41FC-9A06-6B01BAD321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6">
    <pivotField showAll="0"/>
    <pivotField dataField="1" showAll="0"/>
    <pivotField showAll="0"/>
    <pivotField showAll="0"/>
    <pivotField showAll="0"/>
    <pivotField showAll="0"/>
    <pivotField showAll="0"/>
    <pivotField showAll="0"/>
    <pivotField showAll="0">
      <items count="11">
        <item h="1" x="0"/>
        <item h="1" x="3"/>
        <item h="1" x="1"/>
        <item h="1" x="2"/>
        <item h="1" x="4"/>
        <item h="1" x="9"/>
        <item h="1" x="5"/>
        <item h="1" x="6"/>
        <item h="1" x="7"/>
        <item x="8"/>
        <item t="default"/>
      </items>
    </pivotField>
    <pivotField showAll="0"/>
    <pivotField axis="axisRow" showAll="0">
      <items count="7">
        <item x="1"/>
        <item x="2"/>
        <item x="5"/>
        <item x="4"/>
        <item x="3"/>
        <item x="0"/>
        <item t="default"/>
      </items>
    </pivotField>
    <pivotField showAll="0"/>
    <pivotField showAll="0"/>
    <pivotField showAll="0"/>
    <pivotField showAll="0"/>
    <pivotField showAll="0"/>
  </pivotFields>
  <rowFields count="1">
    <field x="10"/>
  </rowFields>
  <rowItems count="3">
    <i>
      <x v="2"/>
    </i>
    <i>
      <x v="4"/>
    </i>
    <i t="grand">
      <x/>
    </i>
  </rowItems>
  <colItems count="1">
    <i/>
  </colItems>
  <dataFields count="1">
    <dataField name="Count of Order ID" fld="1" subtotal="count" showDataAs="percentOfTotal" baseField="0" baseItem="0" numFmtId="10"/>
  </dataFields>
  <chartFormats count="15">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 chart="9" format="12">
      <pivotArea type="data" outline="0" fieldPosition="0">
        <references count="2">
          <reference field="4294967294" count="1" selected="0">
            <x v="0"/>
          </reference>
          <reference field="10" count="1" selected="0">
            <x v="3"/>
          </reference>
        </references>
      </pivotArea>
    </chartFormat>
    <chartFormat chart="9" format="13">
      <pivotArea type="data" outline="0" fieldPosition="0">
        <references count="2">
          <reference field="4294967294" count="1" selected="0">
            <x v="0"/>
          </reference>
          <reference field="10" count="1" selected="0">
            <x v="4"/>
          </reference>
        </references>
      </pivotArea>
    </chartFormat>
    <chartFormat chart="9" format="14">
      <pivotArea type="data" outline="0" fieldPosition="0">
        <references count="2">
          <reference field="4294967294" count="1" selected="0">
            <x v="0"/>
          </reference>
          <reference field="10" count="1" selected="0">
            <x v="5"/>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6" format="4">
      <pivotArea type="data" outline="0" fieldPosition="0">
        <references count="2">
          <reference field="4294967294" count="1" selected="0">
            <x v="0"/>
          </reference>
          <reference field="10" count="1" selected="0">
            <x v="3"/>
          </reference>
        </references>
      </pivotArea>
    </chartFormat>
    <chartFormat chart="6" format="5">
      <pivotArea type="data" outline="0" fieldPosition="0">
        <references count="2">
          <reference field="4294967294" count="1" selected="0">
            <x v="0"/>
          </reference>
          <reference field="10" count="1" selected="0">
            <x v="4"/>
          </reference>
        </references>
      </pivotArea>
    </chartFormat>
    <chartFormat chart="6" format="6">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C9B6A-8C84-484D-A8D6-365BEC5157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pivotField showAll="0"/>
    <pivotField showAll="0"/>
    <pivotField showAll="0"/>
    <pivotField showAll="0"/>
    <pivotField showAll="0"/>
    <pivotField showAll="0"/>
    <pivotField showAll="0"/>
    <pivotField showAll="0">
      <items count="11">
        <item h="1" x="0"/>
        <item h="1" x="3"/>
        <item h="1" x="1"/>
        <item h="1" x="2"/>
        <item h="1" x="4"/>
        <item h="1" x="9"/>
        <item h="1" x="5"/>
        <item h="1" x="6"/>
        <item h="1" x="7"/>
        <item x="8"/>
        <item t="default"/>
      </items>
    </pivotField>
    <pivotField showAll="0"/>
    <pivotField showAll="0"/>
    <pivotField showAll="0"/>
    <pivotField showAll="0"/>
    <pivotField dataField="1" showAll="0"/>
    <pivotField axis="axisRow" showAll="0" measureFilter="1">
      <items count="16">
        <item x="9"/>
        <item x="2"/>
        <item x="3"/>
        <item x="1"/>
        <item x="13"/>
        <item x="4"/>
        <item x="14"/>
        <item x="10"/>
        <item x="6"/>
        <item x="8"/>
        <item x="0"/>
        <item x="12"/>
        <item x="5"/>
        <item x="11"/>
        <item x="7"/>
        <item t="default"/>
      </items>
    </pivotField>
    <pivotField showAll="0"/>
  </pivotFields>
  <rowFields count="1">
    <field x="14"/>
  </rowFields>
  <rowItems count="3">
    <i>
      <x v="4"/>
    </i>
    <i>
      <x v="13"/>
    </i>
    <i t="grand">
      <x/>
    </i>
  </rowItems>
  <colItems count="1">
    <i/>
  </colItems>
  <dataFields count="1">
    <dataField name="Sum of Amount" fld="1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228217-DF78-4924-8EFC-4CAFE83AB3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showAll="0"/>
    <pivotField dataField="1" showAll="0"/>
    <pivotField showAll="0"/>
    <pivotField showAll="0"/>
    <pivotField axis="axisRow" showAll="0">
      <items count="3">
        <item x="1"/>
        <item x="0"/>
        <item t="default"/>
      </items>
    </pivotField>
    <pivotField showAll="0"/>
    <pivotField showAll="0"/>
    <pivotField showAll="0"/>
    <pivotField showAll="0">
      <items count="11">
        <item h="1" x="0"/>
        <item h="1" x="3"/>
        <item h="1" x="1"/>
        <item h="1" x="2"/>
        <item h="1" x="4"/>
        <item h="1" x="9"/>
        <item h="1" x="5"/>
        <item h="1" x="6"/>
        <item h="1" x="7"/>
        <item x="8"/>
        <item t="default"/>
      </items>
    </pivotField>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Order ID" fld="1" subtotal="count" showDataAs="percentOfTotal" baseField="0" baseItem="0" numFmtId="10"/>
  </dataFields>
  <formats count="3">
    <format dxfId="68">
      <pivotArea collapsedLevelsAreSubtotals="1" fieldPosition="0">
        <references count="1">
          <reference field="4" count="1">
            <x v="0"/>
          </reference>
        </references>
      </pivotArea>
    </format>
    <format dxfId="67">
      <pivotArea collapsedLevelsAreSubtotals="1" fieldPosition="0">
        <references count="1">
          <reference field="4" count="1">
            <x v="1"/>
          </reference>
        </references>
      </pivotArea>
    </format>
    <format dxfId="66">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1F80F8-2B84-4789-9AD6-442971B3C0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6">
    <pivotField showAll="0"/>
    <pivotField dataField="1" showAll="0"/>
    <pivotField showAll="0"/>
    <pivotField showAll="0"/>
    <pivotField axis="axisCol" showAll="0">
      <items count="3">
        <item x="1"/>
        <item x="0"/>
        <item t="default"/>
      </items>
    </pivotField>
    <pivotField showAll="0"/>
    <pivotField axis="axisRow" showAll="0">
      <items count="7">
        <item x="3"/>
        <item x="0"/>
        <item x="5"/>
        <item x="2"/>
        <item x="1"/>
        <item x="4"/>
        <item t="default"/>
      </items>
    </pivotField>
    <pivotField showAll="0"/>
    <pivotField showAll="0">
      <items count="11">
        <item h="1" x="0"/>
        <item h="1" x="3"/>
        <item h="1" x="1"/>
        <item h="1" x="2"/>
        <item h="1" x="4"/>
        <item h="1" x="9"/>
        <item h="1" x="5"/>
        <item h="1" x="6"/>
        <item h="1" x="7"/>
        <item x="8"/>
        <item t="default"/>
      </items>
    </pivotField>
    <pivotField showAll="0"/>
    <pivotField showAll="0"/>
    <pivotField showAll="0"/>
    <pivotField showAll="0"/>
    <pivotField showAll="0"/>
    <pivotField showAll="0"/>
    <pivotField showAll="0"/>
  </pivotFields>
  <rowFields count="1">
    <field x="6"/>
  </rowFields>
  <rowItems count="3">
    <i>
      <x/>
    </i>
    <i>
      <x v="2"/>
    </i>
    <i t="grand">
      <x/>
    </i>
  </rowItems>
  <colFields count="1">
    <field x="4"/>
  </colFields>
  <colItems count="3">
    <i>
      <x/>
    </i>
    <i>
      <x v="1"/>
    </i>
    <i t="grand">
      <x/>
    </i>
  </colItems>
  <dataFields count="1">
    <dataField name="Count of Order ID" fld="1" subtotal="count" showDataAs="percentOfTotal" baseField="0" baseItem="0" numFmtId="9"/>
  </dataFields>
  <formats count="2">
    <format dxfId="65">
      <pivotArea collapsedLevelsAreSubtotals="1" fieldPosition="0">
        <references count="2">
          <reference field="4" count="1" selected="0">
            <x v="1"/>
          </reference>
          <reference field="6" count="1">
            <x v="4"/>
          </reference>
        </references>
      </pivotArea>
    </format>
    <format dxfId="64">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4EF0E-1440-4997-A8F6-1830EB864B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6">
    <pivotField showAll="0"/>
    <pivotField dataField="1" showAll="0"/>
    <pivotField showAll="0"/>
    <pivotField showAll="0"/>
    <pivotField showAll="0"/>
    <pivotField showAll="0"/>
    <pivotField showAll="0"/>
    <pivotField showAll="0"/>
    <pivotField showAll="0">
      <items count="11">
        <item h="1" x="0"/>
        <item h="1" x="3"/>
        <item h="1" x="1"/>
        <item h="1" x="2"/>
        <item h="1" x="4"/>
        <item h="1" x="9"/>
        <item h="1" x="5"/>
        <item h="1" x="6"/>
        <item h="1" x="7"/>
        <item x="8"/>
        <item t="default"/>
      </items>
    </pivotField>
    <pivotField axis="axisRow" showAll="0">
      <items count="4">
        <item x="1"/>
        <item x="0"/>
        <item x="2"/>
        <item t="default"/>
      </items>
    </pivotField>
    <pivotField showAll="0"/>
    <pivotField showAll="0"/>
    <pivotField showAll="0"/>
    <pivotField showAll="0"/>
    <pivotField showAll="0"/>
    <pivotField showAll="0"/>
  </pivotFields>
  <rowFields count="1">
    <field x="9"/>
  </rowFields>
  <rowItems count="3">
    <i>
      <x v="1"/>
    </i>
    <i>
      <x v="2"/>
    </i>
    <i t="grand">
      <x/>
    </i>
  </rowItems>
  <colItems count="1">
    <i/>
  </colItems>
  <dataFields count="1">
    <dataField name="Count of Order ID" fld="1" subtotal="count" showDataAs="percentOfTotal" baseField="0" baseItem="0" numFmtId="9"/>
  </dataFields>
  <formats count="1">
    <format dxfId="6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24580-BDFF-4BD9-952D-0F9B29FF8B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6">
    <pivotField showAll="0"/>
    <pivotField dataField="1" showAll="0"/>
    <pivotField showAll="0"/>
    <pivotField showAll="0"/>
    <pivotField showAll="0"/>
    <pivotField showAll="0"/>
    <pivotField showAll="0"/>
    <pivotField showAll="0"/>
    <pivotField axis="axisRow" showAll="0">
      <items count="11">
        <item h="1" x="0"/>
        <item h="1" x="3"/>
        <item h="1" x="1"/>
        <item h="1" x="2"/>
        <item h="1" x="4"/>
        <item h="1" x="9"/>
        <item h="1" x="5"/>
        <item h="1" x="6"/>
        <item h="1" x="7"/>
        <item x="8"/>
        <item t="default"/>
      </items>
    </pivotField>
    <pivotField showAll="0"/>
    <pivotField showAll="0"/>
    <pivotField showAll="0"/>
    <pivotField showAll="0"/>
    <pivotField dataField="1" showAll="0"/>
    <pivotField showAll="0"/>
    <pivotField showAll="0"/>
  </pivotFields>
  <rowFields count="1">
    <field x="8"/>
  </rowFields>
  <rowItems count="2">
    <i>
      <x v="9"/>
    </i>
    <i t="grand">
      <x/>
    </i>
  </rowItems>
  <colFields count="1">
    <field x="-2"/>
  </colFields>
  <colItems count="2">
    <i>
      <x/>
    </i>
    <i i="1">
      <x v="1"/>
    </i>
  </colItems>
  <dataFields count="2">
    <dataField name="Sum of Amount" fld="13" baseField="0" baseItem="0"/>
    <dataField name="Count of Ord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FFCD631-F3CE-4DF1-81DA-3E4862F79BC4}" sourceName="Month">
  <pivotTables>
    <pivotTable tabId="5" name="PivotTable1"/>
    <pivotTable tabId="8" name="PivotTable1"/>
    <pivotTable tabId="7" name="PivotTable3"/>
    <pivotTable tabId="9" name="PivotTable2"/>
    <pivotTable tabId="10" name="PivotTable3"/>
    <pivotTable tabId="6" name="PivotTable2"/>
  </pivotTables>
  <data>
    <tabular pivotCacheId="1015716042">
      <items count="10">
        <i x="3"/>
        <i x="0"/>
        <i x="1"/>
        <i x="2"/>
        <i x="4"/>
        <i x="7"/>
        <i x="8" s="1"/>
        <i x="5"/>
        <i x="9"/>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245BE97-103D-4930-88D6-8532F7EA2E18}" cache="Slicer_Month" caption="Month" showCaption="0"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3A21CC-ECEC-447B-BDBE-17718821B180}" name="Table1" displayName="Table1" ref="A1:P16" totalsRowShown="0" headerRowDxfId="62" dataDxfId="60" headerRowBorderDxfId="61" tableBorderDxfId="59" totalsRowBorderDxfId="58">
  <autoFilter ref="A1:P16" xr:uid="{163A21CC-ECEC-447B-BDBE-17718821B180}"/>
  <tableColumns count="16">
    <tableColumn id="1" xr3:uid="{4B500AC5-DB64-4BAA-BAAC-E6D52B5BE247}" name="S.No." dataDxfId="57"/>
    <tableColumn id="2" xr3:uid="{E1BA7293-C11A-4246-8ED3-9FB8EBA13EEC}" name="Order ID" dataDxfId="56"/>
    <tableColumn id="3" xr3:uid="{C6D99D3C-1787-43EC-BEDC-F54333FFCA3B}" name="Customer ID" dataDxfId="55"/>
    <tableColumn id="4" xr3:uid="{5FEB8CB0-4BDD-47C2-8714-C89B8FB994A2}" name="Customer Name" dataDxfId="54"/>
    <tableColumn id="5" xr3:uid="{E59F9347-3A04-46F7-A329-918D5E7AC002}" name="Gender" dataDxfId="53"/>
    <tableColumn id="6" xr3:uid="{2C62467C-6058-467F-B0DA-98628D6C5C1B}" name="Age" dataDxfId="52"/>
    <tableColumn id="7" xr3:uid="{512242ED-11E5-45E4-92EC-9B553784165E}" name="Age Group" dataDxfId="51"/>
    <tableColumn id="8" xr3:uid="{0587928E-0389-4960-93C6-94815A8CF61D}" name="Date" dataDxfId="50"/>
    <tableColumn id="9" xr3:uid="{8F60FE32-B4B6-4B7C-968D-2E99D5167CBB}" name="Month" dataDxfId="49"/>
    <tableColumn id="10" xr3:uid="{B6EC151F-F85E-4792-AD06-87ADE189ED79}" name="Status" dataDxfId="48"/>
    <tableColumn id="11" xr3:uid="{232E398F-8EDE-48F9-A3E5-D82804A8FCAC}" name="Channel" dataDxfId="47"/>
    <tableColumn id="12" xr3:uid="{98BEF7CA-D141-4DF0-8081-2E76F06CF118}" name="Category" dataDxfId="46"/>
    <tableColumn id="13" xr3:uid="{34072FC3-3FE8-4148-9EB2-2A117D81F651}" name="Qty" dataDxfId="45"/>
    <tableColumn id="14" xr3:uid="{8E0988CA-DB2B-4219-A5EC-1AD8FCF88877}" name="Amount" dataDxfId="44"/>
    <tableColumn id="15" xr3:uid="{8D782D67-55FA-4E5A-B403-FE0F685D99C9}" name="Ship-state" dataDxfId="43"/>
    <tableColumn id="16" xr3:uid="{4D7C3E70-A389-41D5-8047-10136AA17C3A}" name="Ship-postal-code" dataDxfId="4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A56E-4759-440B-8F62-A95A23D1D252}">
  <dimension ref="V27"/>
  <sheetViews>
    <sheetView showGridLines="0" showRowColHeaders="0" workbookViewId="0">
      <selection activeCell="W23" sqref="W23"/>
    </sheetView>
  </sheetViews>
  <sheetFormatPr defaultRowHeight="14.4" x14ac:dyDescent="0.3"/>
  <sheetData>
    <row r="27" spans="22:22" ht="15" x14ac:dyDescent="0.3">
      <c r="V27"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E610-F8A3-4B1D-8BD0-8BA6DA861D86}">
  <dimension ref="A3:B6"/>
  <sheetViews>
    <sheetView workbookViewId="0">
      <selection activeCell="K19" sqref="K19"/>
    </sheetView>
  </sheetViews>
  <sheetFormatPr defaultRowHeight="14.4" x14ac:dyDescent="0.3"/>
  <cols>
    <col min="1" max="1" width="12.44140625" bestFit="1" customWidth="1"/>
    <col min="2" max="2" width="15.109375" bestFit="1" customWidth="1"/>
  </cols>
  <sheetData>
    <row r="3" spans="1:2" x14ac:dyDescent="0.3">
      <c r="A3" s="12" t="s">
        <v>88</v>
      </c>
      <c r="B3" t="s">
        <v>90</v>
      </c>
    </row>
    <row r="4" spans="1:2" x14ac:dyDescent="0.3">
      <c r="A4" s="13" t="s">
        <v>58</v>
      </c>
      <c r="B4" s="14">
        <v>0.5</v>
      </c>
    </row>
    <row r="5" spans="1:2" x14ac:dyDescent="0.3">
      <c r="A5" s="13" t="s">
        <v>56</v>
      </c>
      <c r="B5" s="14">
        <v>0.5</v>
      </c>
    </row>
    <row r="6" spans="1:2" x14ac:dyDescent="0.3">
      <c r="A6" s="13" t="s">
        <v>89</v>
      </c>
      <c r="B6" s="1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F017A-4B6B-41F7-B4C6-2B6018E0613C}">
  <dimension ref="A3:B6"/>
  <sheetViews>
    <sheetView workbookViewId="0">
      <selection activeCell="N6" sqref="N6"/>
    </sheetView>
  </sheetViews>
  <sheetFormatPr defaultRowHeight="14.4" x14ac:dyDescent="0.3"/>
  <cols>
    <col min="1" max="1" width="14.88671875" bestFit="1" customWidth="1"/>
    <col min="2" max="2" width="13.5546875" bestFit="1" customWidth="1"/>
  </cols>
  <sheetData>
    <row r="3" spans="1:2" x14ac:dyDescent="0.3">
      <c r="A3" s="12" t="s">
        <v>88</v>
      </c>
      <c r="B3" t="s">
        <v>91</v>
      </c>
    </row>
    <row r="4" spans="1:2" x14ac:dyDescent="0.3">
      <c r="A4" s="13" t="s">
        <v>86</v>
      </c>
      <c r="B4" s="17">
        <v>1856</v>
      </c>
    </row>
    <row r="5" spans="1:2" x14ac:dyDescent="0.3">
      <c r="A5" s="13" t="s">
        <v>84</v>
      </c>
      <c r="B5" s="17">
        <v>1561</v>
      </c>
    </row>
    <row r="6" spans="1:2" x14ac:dyDescent="0.3">
      <c r="A6" s="13" t="s">
        <v>89</v>
      </c>
      <c r="B6" s="17">
        <v>3417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CD41-BE16-4CE6-B9D3-3DFD64931396}">
  <dimension ref="A3:B6"/>
  <sheetViews>
    <sheetView workbookViewId="0">
      <selection activeCell="N24" sqref="N24"/>
    </sheetView>
  </sheetViews>
  <sheetFormatPr defaultRowHeight="14.4" x14ac:dyDescent="0.3"/>
  <cols>
    <col min="1" max="1" width="12.44140625" bestFit="1" customWidth="1"/>
    <col min="2" max="2" width="15.109375" bestFit="1" customWidth="1"/>
  </cols>
  <sheetData>
    <row r="3" spans="1:2" x14ac:dyDescent="0.3">
      <c r="A3" s="12" t="s">
        <v>88</v>
      </c>
      <c r="B3" t="s">
        <v>90</v>
      </c>
    </row>
    <row r="4" spans="1:2" x14ac:dyDescent="0.3">
      <c r="A4" s="13" t="s">
        <v>32</v>
      </c>
      <c r="B4" s="15">
        <v>0.5</v>
      </c>
    </row>
    <row r="5" spans="1:2" x14ac:dyDescent="0.3">
      <c r="A5" s="13" t="s">
        <v>31</v>
      </c>
      <c r="B5" s="15">
        <v>0.5</v>
      </c>
    </row>
    <row r="6" spans="1:2" x14ac:dyDescent="0.3">
      <c r="A6" s="13" t="s">
        <v>89</v>
      </c>
      <c r="B6" s="1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9E59-0168-4A0E-BC01-B9C90A5AE1BB}">
  <dimension ref="A3:D7"/>
  <sheetViews>
    <sheetView workbookViewId="0">
      <selection activeCell="N12" sqref="N12"/>
    </sheetView>
  </sheetViews>
  <sheetFormatPr defaultRowHeight="14.4" x14ac:dyDescent="0.3"/>
  <cols>
    <col min="1" max="1" width="15.109375" bestFit="1" customWidth="1"/>
    <col min="2" max="2" width="15.5546875" bestFit="1" customWidth="1"/>
    <col min="3" max="3" width="5" bestFit="1" customWidth="1"/>
    <col min="4" max="4" width="10.5546875" bestFit="1" customWidth="1"/>
  </cols>
  <sheetData>
    <row r="3" spans="1:4" x14ac:dyDescent="0.3">
      <c r="A3" s="12" t="s">
        <v>90</v>
      </c>
      <c r="B3" s="12" t="s">
        <v>92</v>
      </c>
    </row>
    <row r="4" spans="1:4" x14ac:dyDescent="0.3">
      <c r="A4" s="12" t="s">
        <v>88</v>
      </c>
      <c r="B4" t="s">
        <v>32</v>
      </c>
      <c r="C4" t="s">
        <v>31</v>
      </c>
      <c r="D4" t="s">
        <v>89</v>
      </c>
    </row>
    <row r="5" spans="1:4" x14ac:dyDescent="0.3">
      <c r="A5" s="13" t="s">
        <v>38</v>
      </c>
      <c r="B5" s="15">
        <v>0.5</v>
      </c>
      <c r="C5" s="15">
        <v>0</v>
      </c>
      <c r="D5" s="15">
        <v>0.5</v>
      </c>
    </row>
    <row r="6" spans="1:4" x14ac:dyDescent="0.3">
      <c r="A6" s="13" t="s">
        <v>37</v>
      </c>
      <c r="B6" s="15">
        <v>0</v>
      </c>
      <c r="C6" s="15">
        <v>0.5</v>
      </c>
      <c r="D6" s="15">
        <v>0.5</v>
      </c>
    </row>
    <row r="7" spans="1:4" x14ac:dyDescent="0.3">
      <c r="A7" s="13" t="s">
        <v>89</v>
      </c>
      <c r="B7" s="15">
        <v>0.5</v>
      </c>
      <c r="C7" s="15">
        <v>0.5</v>
      </c>
      <c r="D7" s="1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1BB9-FA8E-4197-B843-46E1A5A1BF11}">
  <dimension ref="A3:B6"/>
  <sheetViews>
    <sheetView workbookViewId="0">
      <selection activeCell="L22" sqref="L22"/>
    </sheetView>
  </sheetViews>
  <sheetFormatPr defaultRowHeight="14.4" x14ac:dyDescent="0.3"/>
  <cols>
    <col min="1" max="1" width="12.44140625" bestFit="1" customWidth="1"/>
    <col min="2" max="2" width="15.109375" bestFit="1" customWidth="1"/>
  </cols>
  <sheetData>
    <row r="3" spans="1:2" x14ac:dyDescent="0.3">
      <c r="A3" s="12" t="s">
        <v>88</v>
      </c>
      <c r="B3" t="s">
        <v>90</v>
      </c>
    </row>
    <row r="4" spans="1:2" x14ac:dyDescent="0.3">
      <c r="A4" s="13" t="s">
        <v>50</v>
      </c>
      <c r="B4" s="15">
        <v>0.5</v>
      </c>
    </row>
    <row r="5" spans="1:2" x14ac:dyDescent="0.3">
      <c r="A5" s="13" t="s">
        <v>52</v>
      </c>
      <c r="B5" s="15">
        <v>0.5</v>
      </c>
    </row>
    <row r="6" spans="1:2" x14ac:dyDescent="0.3">
      <c r="A6" s="13" t="s">
        <v>89</v>
      </c>
      <c r="B6" s="1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D89A-78CF-4D76-92FB-9BC5964EEFF0}">
  <dimension ref="A3:C5"/>
  <sheetViews>
    <sheetView workbookViewId="0">
      <selection activeCell="I24" sqref="I24"/>
    </sheetView>
  </sheetViews>
  <sheetFormatPr defaultRowHeight="14.4" x14ac:dyDescent="0.3"/>
  <cols>
    <col min="1" max="1" width="12.44140625" bestFit="1" customWidth="1"/>
    <col min="2" max="2" width="13.5546875" bestFit="1" customWidth="1"/>
    <col min="3" max="3" width="15.109375" bestFit="1" customWidth="1"/>
  </cols>
  <sheetData>
    <row r="3" spans="1:3" x14ac:dyDescent="0.3">
      <c r="A3" s="12" t="s">
        <v>88</v>
      </c>
      <c r="B3" t="s">
        <v>91</v>
      </c>
      <c r="C3" t="s">
        <v>90</v>
      </c>
    </row>
    <row r="4" spans="1:3" x14ac:dyDescent="0.3">
      <c r="A4" s="13" t="s">
        <v>94</v>
      </c>
      <c r="B4" s="17">
        <v>3417</v>
      </c>
      <c r="C4" s="17">
        <v>2</v>
      </c>
    </row>
    <row r="5" spans="1:3" x14ac:dyDescent="0.3">
      <c r="A5" s="13" t="s">
        <v>89</v>
      </c>
      <c r="B5" s="17">
        <v>3417</v>
      </c>
      <c r="C5" s="17">
        <v>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8AE30-8AD5-417E-A7D1-98C51921B8C6}">
  <dimension ref="A1:P16"/>
  <sheetViews>
    <sheetView tabSelected="1" topLeftCell="D1" zoomScaleNormal="100" workbookViewId="0">
      <selection activeCell="P2" sqref="P2:P16"/>
    </sheetView>
  </sheetViews>
  <sheetFormatPr defaultRowHeight="14.4" x14ac:dyDescent="0.3"/>
  <cols>
    <col min="1" max="1" width="11" customWidth="1"/>
    <col min="2" max="2" width="15.5546875" customWidth="1"/>
    <col min="3" max="3" width="19.77734375" customWidth="1"/>
    <col min="4" max="4" width="22.33203125" customWidth="1"/>
    <col min="5" max="5" width="15.109375" customWidth="1"/>
    <col min="6" max="6" width="11.88671875" customWidth="1"/>
    <col min="7" max="7" width="16.6640625" customWidth="1"/>
    <col min="8" max="8" width="15.88671875" customWidth="1"/>
    <col min="9" max="9" width="13.33203125" customWidth="1"/>
    <col min="10" max="10" width="12.5546875" customWidth="1"/>
    <col min="11" max="11" width="15.6640625" customWidth="1"/>
    <col min="12" max="12" width="16.21875" customWidth="1"/>
    <col min="13" max="13" width="11.44140625" customWidth="1"/>
    <col min="14" max="14" width="14.109375" customWidth="1"/>
    <col min="15" max="15" width="18.109375" customWidth="1"/>
    <col min="16" max="16" width="22.88671875" customWidth="1"/>
  </cols>
  <sheetData>
    <row r="1" spans="1:16" x14ac:dyDescent="0.3">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7" t="s">
        <v>15</v>
      </c>
    </row>
    <row r="2" spans="1:16" x14ac:dyDescent="0.3">
      <c r="A2" s="3">
        <v>1</v>
      </c>
      <c r="B2" s="1">
        <v>2456</v>
      </c>
      <c r="C2" s="1">
        <v>1122</v>
      </c>
      <c r="D2" s="1" t="s">
        <v>16</v>
      </c>
      <c r="E2" s="1" t="s">
        <v>31</v>
      </c>
      <c r="F2" s="1">
        <v>24</v>
      </c>
      <c r="G2" s="1" t="s">
        <v>33</v>
      </c>
      <c r="H2" s="2">
        <v>44562</v>
      </c>
      <c r="I2" s="1" t="s">
        <v>43</v>
      </c>
      <c r="J2" s="1" t="s">
        <v>50</v>
      </c>
      <c r="K2" s="1" t="s">
        <v>53</v>
      </c>
      <c r="L2" s="1" t="s">
        <v>59</v>
      </c>
      <c r="M2" s="1">
        <v>2</v>
      </c>
      <c r="N2" s="1">
        <v>376</v>
      </c>
      <c r="O2" s="1" t="s">
        <v>73</v>
      </c>
      <c r="P2" s="4">
        <v>140301</v>
      </c>
    </row>
    <row r="3" spans="1:16" x14ac:dyDescent="0.3">
      <c r="A3" s="3">
        <v>2</v>
      </c>
      <c r="B3" s="1">
        <v>4526</v>
      </c>
      <c r="C3" s="1">
        <v>1133</v>
      </c>
      <c r="D3" s="1" t="s">
        <v>17</v>
      </c>
      <c r="E3" s="1" t="s">
        <v>31</v>
      </c>
      <c r="F3" s="1">
        <v>26</v>
      </c>
      <c r="G3" s="1" t="s">
        <v>33</v>
      </c>
      <c r="H3" s="2">
        <v>44594</v>
      </c>
      <c r="I3" s="1" t="s">
        <v>44</v>
      </c>
      <c r="J3" s="1" t="s">
        <v>50</v>
      </c>
      <c r="K3" s="1" t="s">
        <v>54</v>
      </c>
      <c r="L3" s="1" t="s">
        <v>60</v>
      </c>
      <c r="M3" s="1">
        <v>3</v>
      </c>
      <c r="N3" s="1">
        <v>1449</v>
      </c>
      <c r="O3" s="1" t="s">
        <v>74</v>
      </c>
      <c r="P3" s="4">
        <v>122002</v>
      </c>
    </row>
    <row r="4" spans="1:16" x14ac:dyDescent="0.3">
      <c r="A4" s="3">
        <v>3</v>
      </c>
      <c r="B4" s="1">
        <v>7852</v>
      </c>
      <c r="C4" s="1">
        <v>1144</v>
      </c>
      <c r="D4" s="1" t="s">
        <v>18</v>
      </c>
      <c r="E4" s="1" t="s">
        <v>31</v>
      </c>
      <c r="F4" s="1">
        <v>56</v>
      </c>
      <c r="G4" s="1" t="s">
        <v>34</v>
      </c>
      <c r="H4" s="2">
        <v>44623</v>
      </c>
      <c r="I4" s="1" t="s">
        <v>45</v>
      </c>
      <c r="J4" s="1" t="s">
        <v>50</v>
      </c>
      <c r="K4" s="1" t="s">
        <v>53</v>
      </c>
      <c r="L4" s="1" t="s">
        <v>61</v>
      </c>
      <c r="M4" s="1">
        <v>7</v>
      </c>
      <c r="N4" s="1">
        <v>453</v>
      </c>
      <c r="O4" s="1" t="s">
        <v>75</v>
      </c>
      <c r="P4" s="4">
        <v>700029</v>
      </c>
    </row>
    <row r="5" spans="1:16" x14ac:dyDescent="0.3">
      <c r="A5" s="3">
        <v>4</v>
      </c>
      <c r="B5" s="1">
        <v>3561</v>
      </c>
      <c r="C5" s="1">
        <v>1155</v>
      </c>
      <c r="D5" s="1" t="s">
        <v>19</v>
      </c>
      <c r="E5" s="1" t="s">
        <v>32</v>
      </c>
      <c r="F5" s="1">
        <v>45</v>
      </c>
      <c r="G5" s="1" t="s">
        <v>35</v>
      </c>
      <c r="H5" s="2">
        <v>44655</v>
      </c>
      <c r="I5" s="1" t="s">
        <v>46</v>
      </c>
      <c r="J5" s="1" t="s">
        <v>50</v>
      </c>
      <c r="K5" s="1" t="s">
        <v>55</v>
      </c>
      <c r="L5" s="1" t="s">
        <v>62</v>
      </c>
      <c r="M5" s="1">
        <v>5</v>
      </c>
      <c r="N5" s="1">
        <v>265</v>
      </c>
      <c r="O5" s="1" t="s">
        <v>76</v>
      </c>
      <c r="P5" s="4">
        <v>613002</v>
      </c>
    </row>
    <row r="6" spans="1:16" x14ac:dyDescent="0.3">
      <c r="A6" s="3">
        <v>5</v>
      </c>
      <c r="B6" s="1">
        <v>1253</v>
      </c>
      <c r="C6" s="1">
        <v>1166</v>
      </c>
      <c r="D6" s="1" t="s">
        <v>20</v>
      </c>
      <c r="E6" s="1" t="s">
        <v>31</v>
      </c>
      <c r="F6" s="1">
        <v>23</v>
      </c>
      <c r="G6" s="1" t="s">
        <v>33</v>
      </c>
      <c r="H6" s="2">
        <v>44686</v>
      </c>
      <c r="I6" s="1" t="s">
        <v>47</v>
      </c>
      <c r="J6" s="1" t="s">
        <v>51</v>
      </c>
      <c r="K6" s="1" t="s">
        <v>56</v>
      </c>
      <c r="L6" s="1" t="s">
        <v>63</v>
      </c>
      <c r="M6" s="1">
        <v>6</v>
      </c>
      <c r="N6" s="1">
        <v>456</v>
      </c>
      <c r="O6" s="1" t="s">
        <v>77</v>
      </c>
      <c r="P6" s="4">
        <v>122001</v>
      </c>
    </row>
    <row r="7" spans="1:16" x14ac:dyDescent="0.3">
      <c r="A7" s="3">
        <v>6</v>
      </c>
      <c r="B7" s="1">
        <v>4523</v>
      </c>
      <c r="C7" s="1">
        <v>1177</v>
      </c>
      <c r="D7" s="1" t="s">
        <v>21</v>
      </c>
      <c r="E7" s="1" t="s">
        <v>31</v>
      </c>
      <c r="F7" s="1">
        <v>19</v>
      </c>
      <c r="G7" s="1" t="s">
        <v>38</v>
      </c>
      <c r="H7" s="2">
        <v>44626</v>
      </c>
      <c r="I7" s="1" t="s">
        <v>48</v>
      </c>
      <c r="J7" s="1" t="s">
        <v>51</v>
      </c>
      <c r="K7" s="1" t="s">
        <v>57</v>
      </c>
      <c r="L7" s="1" t="s">
        <v>64</v>
      </c>
      <c r="M7" s="1">
        <v>4</v>
      </c>
      <c r="N7" s="1">
        <v>899</v>
      </c>
      <c r="O7" s="1" t="s">
        <v>78</v>
      </c>
      <c r="P7" s="4">
        <v>560029</v>
      </c>
    </row>
    <row r="8" spans="1:16" x14ac:dyDescent="0.3">
      <c r="A8" s="3">
        <v>7</v>
      </c>
      <c r="B8" s="1">
        <v>1200</v>
      </c>
      <c r="C8" s="1">
        <v>1188</v>
      </c>
      <c r="D8" s="1" t="s">
        <v>22</v>
      </c>
      <c r="E8" s="1" t="s">
        <v>31</v>
      </c>
      <c r="F8" s="1">
        <v>24</v>
      </c>
      <c r="G8" s="1" t="s">
        <v>33</v>
      </c>
      <c r="H8" s="2">
        <v>44838</v>
      </c>
      <c r="I8" s="1" t="s">
        <v>49</v>
      </c>
      <c r="J8" s="1" t="s">
        <v>51</v>
      </c>
      <c r="K8" s="1" t="s">
        <v>53</v>
      </c>
      <c r="L8" s="1" t="s">
        <v>65</v>
      </c>
      <c r="M8" s="1">
        <v>2</v>
      </c>
      <c r="N8" s="1">
        <v>1200</v>
      </c>
      <c r="O8" s="1" t="s">
        <v>79</v>
      </c>
      <c r="P8" s="4">
        <v>120065</v>
      </c>
    </row>
    <row r="9" spans="1:16" x14ac:dyDescent="0.3">
      <c r="A9" s="3">
        <v>8</v>
      </c>
      <c r="B9" s="1">
        <v>1546</v>
      </c>
      <c r="C9" s="1">
        <v>1199</v>
      </c>
      <c r="D9" s="1" t="s">
        <v>23</v>
      </c>
      <c r="E9" s="1" t="s">
        <v>31</v>
      </c>
      <c r="F9" s="1">
        <v>66</v>
      </c>
      <c r="G9" s="1" t="s">
        <v>36</v>
      </c>
      <c r="H9" s="2">
        <v>44899</v>
      </c>
      <c r="I9" s="1" t="s">
        <v>46</v>
      </c>
      <c r="J9" s="1" t="s">
        <v>51</v>
      </c>
      <c r="K9" s="1" t="s">
        <v>56</v>
      </c>
      <c r="L9" s="1" t="s">
        <v>66</v>
      </c>
      <c r="M9" s="1">
        <v>5</v>
      </c>
      <c r="N9" s="1">
        <v>1900</v>
      </c>
      <c r="O9" s="1" t="s">
        <v>80</v>
      </c>
      <c r="P9" s="4">
        <v>145662</v>
      </c>
    </row>
    <row r="10" spans="1:16" x14ac:dyDescent="0.3">
      <c r="A10" s="3">
        <v>9</v>
      </c>
      <c r="B10" s="1">
        <v>7856</v>
      </c>
      <c r="C10" s="1">
        <v>1123</v>
      </c>
      <c r="D10" s="1" t="s">
        <v>24</v>
      </c>
      <c r="E10" s="1" t="s">
        <v>31</v>
      </c>
      <c r="F10" s="1">
        <v>64</v>
      </c>
      <c r="G10" s="1" t="s">
        <v>36</v>
      </c>
      <c r="H10" s="2" t="s">
        <v>39</v>
      </c>
      <c r="I10" s="1" t="s">
        <v>46</v>
      </c>
      <c r="J10" s="1" t="s">
        <v>52</v>
      </c>
      <c r="K10" s="1" t="s">
        <v>56</v>
      </c>
      <c r="L10" s="1" t="s">
        <v>67</v>
      </c>
      <c r="M10" s="1">
        <v>8</v>
      </c>
      <c r="N10" s="1">
        <v>1650</v>
      </c>
      <c r="O10" s="1" t="s">
        <v>81</v>
      </c>
      <c r="P10" s="4">
        <v>695201</v>
      </c>
    </row>
    <row r="11" spans="1:16" x14ac:dyDescent="0.3">
      <c r="A11" s="3">
        <v>10</v>
      </c>
      <c r="B11" s="1">
        <v>2563</v>
      </c>
      <c r="C11" s="1">
        <v>1124</v>
      </c>
      <c r="D11" s="1" t="s">
        <v>25</v>
      </c>
      <c r="E11" s="1" t="s">
        <v>31</v>
      </c>
      <c r="F11" s="1">
        <v>49</v>
      </c>
      <c r="G11" s="1" t="s">
        <v>35</v>
      </c>
      <c r="H11" s="2" t="s">
        <v>40</v>
      </c>
      <c r="I11" s="1" t="s">
        <v>47</v>
      </c>
      <c r="J11" s="1" t="s">
        <v>52</v>
      </c>
      <c r="K11" s="1" t="s">
        <v>54</v>
      </c>
      <c r="L11" s="1" t="s">
        <v>68</v>
      </c>
      <c r="M11" s="1">
        <v>9</v>
      </c>
      <c r="N11" s="1">
        <v>1350</v>
      </c>
      <c r="O11" s="1" t="s">
        <v>82</v>
      </c>
      <c r="P11" s="4">
        <v>450123</v>
      </c>
    </row>
    <row r="12" spans="1:16" x14ac:dyDescent="0.3">
      <c r="A12" s="3">
        <v>11</v>
      </c>
      <c r="B12" s="1">
        <v>4589</v>
      </c>
      <c r="C12" s="1">
        <v>1125</v>
      </c>
      <c r="D12" s="1" t="s">
        <v>26</v>
      </c>
      <c r="E12" s="1" t="s">
        <v>31</v>
      </c>
      <c r="F12" s="1">
        <v>38</v>
      </c>
      <c r="G12" s="1" t="s">
        <v>37</v>
      </c>
      <c r="H12" s="2" t="s">
        <v>41</v>
      </c>
      <c r="I12" s="1" t="s">
        <v>47</v>
      </c>
      <c r="J12" s="1" t="s">
        <v>52</v>
      </c>
      <c r="K12" s="1" t="s">
        <v>56</v>
      </c>
      <c r="L12" s="1" t="s">
        <v>69</v>
      </c>
      <c r="M12" s="1">
        <v>6</v>
      </c>
      <c r="N12" s="1">
        <v>1499</v>
      </c>
      <c r="O12" s="1" t="s">
        <v>83</v>
      </c>
      <c r="P12" s="4">
        <v>785136</v>
      </c>
    </row>
    <row r="13" spans="1:16" x14ac:dyDescent="0.3">
      <c r="A13" s="3">
        <v>12</v>
      </c>
      <c r="B13" s="1">
        <v>6571</v>
      </c>
      <c r="C13" s="1">
        <v>1126</v>
      </c>
      <c r="D13" s="1" t="s">
        <v>27</v>
      </c>
      <c r="E13" s="1" t="s">
        <v>31</v>
      </c>
      <c r="F13" s="1">
        <v>34</v>
      </c>
      <c r="G13" s="1" t="s">
        <v>37</v>
      </c>
      <c r="H13" s="2" t="s">
        <v>42</v>
      </c>
      <c r="I13" s="1" t="s">
        <v>49</v>
      </c>
      <c r="J13" s="1" t="s">
        <v>50</v>
      </c>
      <c r="K13" s="1" t="s">
        <v>58</v>
      </c>
      <c r="L13" s="1" t="s">
        <v>70</v>
      </c>
      <c r="M13" s="1">
        <v>10</v>
      </c>
      <c r="N13" s="1">
        <v>1561</v>
      </c>
      <c r="O13" s="1" t="s">
        <v>84</v>
      </c>
      <c r="P13" s="4">
        <v>242001</v>
      </c>
    </row>
    <row r="14" spans="1:16" x14ac:dyDescent="0.3">
      <c r="A14" s="3">
        <v>13</v>
      </c>
      <c r="B14" s="1">
        <v>2679</v>
      </c>
      <c r="C14" s="1">
        <v>1127</v>
      </c>
      <c r="D14" s="1" t="s">
        <v>28</v>
      </c>
      <c r="E14" s="1" t="s">
        <v>31</v>
      </c>
      <c r="F14" s="1">
        <v>28</v>
      </c>
      <c r="G14" s="1" t="s">
        <v>33</v>
      </c>
      <c r="H14" s="2">
        <v>44621</v>
      </c>
      <c r="I14" s="1" t="s">
        <v>43</v>
      </c>
      <c r="J14" s="1" t="s">
        <v>51</v>
      </c>
      <c r="K14" s="1" t="s">
        <v>58</v>
      </c>
      <c r="L14" s="1" t="s">
        <v>71</v>
      </c>
      <c r="M14" s="1">
        <v>22</v>
      </c>
      <c r="N14" s="1">
        <v>1657</v>
      </c>
      <c r="O14" s="1" t="s">
        <v>85</v>
      </c>
      <c r="P14" s="4">
        <v>243123</v>
      </c>
    </row>
    <row r="15" spans="1:16" x14ac:dyDescent="0.3">
      <c r="A15" s="3">
        <v>14</v>
      </c>
      <c r="B15" s="1">
        <v>1563</v>
      </c>
      <c r="C15" s="1">
        <v>1128</v>
      </c>
      <c r="D15" s="1" t="s">
        <v>29</v>
      </c>
      <c r="E15" s="1" t="s">
        <v>32</v>
      </c>
      <c r="F15" s="1">
        <v>19</v>
      </c>
      <c r="G15" s="1" t="s">
        <v>38</v>
      </c>
      <c r="H15" s="2">
        <v>44622</v>
      </c>
      <c r="I15" s="1" t="s">
        <v>44</v>
      </c>
      <c r="J15" s="1" t="s">
        <v>52</v>
      </c>
      <c r="K15" s="1" t="s">
        <v>56</v>
      </c>
      <c r="L15" s="1" t="s">
        <v>72</v>
      </c>
      <c r="M15" s="1">
        <v>19</v>
      </c>
      <c r="N15" s="1">
        <v>1856</v>
      </c>
      <c r="O15" s="1" t="s">
        <v>86</v>
      </c>
      <c r="P15" s="4">
        <v>256123</v>
      </c>
    </row>
    <row r="16" spans="1:16" x14ac:dyDescent="0.3">
      <c r="A16" s="8">
        <v>15</v>
      </c>
      <c r="B16" s="9">
        <v>7264</v>
      </c>
      <c r="C16" s="9">
        <v>1129</v>
      </c>
      <c r="D16" s="9" t="s">
        <v>30</v>
      </c>
      <c r="E16" s="9" t="s">
        <v>32</v>
      </c>
      <c r="F16" s="9">
        <v>19</v>
      </c>
      <c r="G16" s="9" t="s">
        <v>38</v>
      </c>
      <c r="H16" s="10">
        <v>44628</v>
      </c>
      <c r="I16" s="9" t="s">
        <v>93</v>
      </c>
      <c r="J16" s="9" t="s">
        <v>50</v>
      </c>
      <c r="K16" s="9" t="s">
        <v>53</v>
      </c>
      <c r="L16" s="9" t="s">
        <v>60</v>
      </c>
      <c r="M16" s="9">
        <v>12</v>
      </c>
      <c r="N16" s="9">
        <v>1952</v>
      </c>
      <c r="O16" s="9" t="s">
        <v>87</v>
      </c>
      <c r="P16" s="11">
        <v>256126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Channels</vt:lpstr>
      <vt:lpstr>Top 5 Place</vt:lpstr>
      <vt:lpstr>Men vs Women</vt:lpstr>
      <vt:lpstr>Age &amp; Gender</vt:lpstr>
      <vt:lpstr>Order Status</vt:lpstr>
      <vt:lpstr>Order vs Sales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vishusaxena575751@gmail.com</dc:creator>
  <cp:lastModifiedBy>vishusaxena575751@gmail.com</cp:lastModifiedBy>
  <dcterms:created xsi:type="dcterms:W3CDTF">2026-10-05T15:56:02Z</dcterms:created>
  <dcterms:modified xsi:type="dcterms:W3CDTF">2026-10-06T11:42:10Z</dcterms:modified>
</cp:coreProperties>
</file>